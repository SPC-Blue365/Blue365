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관리항목" sheetId="3" state="visible" r:id="rId3"/>
    <sheet xmlns:r="http://schemas.openxmlformats.org/officeDocument/2006/relationships" name="알림규칙" sheetId="4" state="visible" r:id="rId4"/>
    <sheet xmlns:r="http://schemas.openxmlformats.org/officeDocument/2006/relationships" name="SPC판정규칙" sheetId="5" state="visible" r:id="rId5"/>
    <sheet xmlns:r="http://schemas.openxmlformats.org/officeDocument/2006/relationships" name="원인진단_지식베이스" sheetId="6" state="visible" r:id="rId6"/>
    <sheet xmlns:r="http://schemas.openxmlformats.org/officeDocument/2006/relationships" name="데이터입력_항목" sheetId="7" state="visible" r:id="rId7"/>
    <sheet xmlns:r="http://schemas.openxmlformats.org/officeDocument/2006/relationships" name="KS규격_근거" sheetId="8" state="visible" r:id="rId8"/>
    <sheet xmlns:r="http://schemas.openxmlformats.org/officeDocument/2006/relationships" name="구축로드맵" sheetId="9" state="visible" r:id="rId9"/>
  </sheets>
  <definedNames>
    <definedName name="_xlnm._FilterDatabase" localSheetId="2" hidden="1">'관리항목'!$A$1:$V$84</definedName>
    <definedName name="_xlnm._FilterDatabase" localSheetId="5" hidden="1">'원인진단_지식베이스'!$A$1:$K$159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color rgb="005F6B73"/>
      <sz val="10"/>
    </font>
    <font>
      <name val="맑은 고딕"/>
      <b val="1"/>
      <sz val="10"/>
    </font>
    <font>
      <name val="맑은 고딕"/>
      <sz val="10"/>
    </font>
    <font>
      <name val="맑은 고딕"/>
      <color rgb="000000FF"/>
      <sz val="10"/>
    </font>
    <font>
      <name val="맑은 고딕"/>
      <b val="1"/>
      <color rgb="00FFFFFF"/>
      <sz val="10"/>
    </font>
    <font>
      <name val="맑은 고딕"/>
      <b val="1"/>
      <sz val="13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CEFF1"/>
      </patternFill>
    </fill>
    <fill>
      <patternFill patternType="solid">
        <fgColor rgb="0037474F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QMS</author>
  </authors>
  <commentList>
    <comment ref="Q1" authorId="0" shapeId="0">
      <text>
        <t>공장 확정값 입력 칸(노란색). 비우면 초기값(회색) 사용.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9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시멘트 통합 품질관리 시스템(QMS) — 관리항목·기준 정의서</t>
        </is>
      </c>
    </row>
    <row r="2">
      <c r="A2" s="2" t="inlineStr">
        <is>
          <t>작성: 품질관리팀 · 생성일 2026-10-28 · 시스템 설정(qms/standards.py, qms/knowledge.py)에서 자동 생성</t>
        </is>
      </c>
    </row>
    <row r="4" ht="54" customHeight="1">
      <c r="A4" s="3" t="inlineStr">
        <is>
          <t>목적</t>
        </is>
      </c>
      <c r="B4" s="4" t="inlineStr">
        <is>
          <t>QMS가 감시·알림·진단에 사용하는 관리항목, KS 규격, 사내 관리기준, 알림 규칙, 원인진단 지식베이스를 한 문서로 정의한다. 공장 실제 기준으로 확정한 값을 '관리항목' 시트의 노란 칸에 입력하면 시스템 설정(⚙️ 기준·알림 설정)에 반영한다.</t>
        </is>
      </c>
    </row>
    <row r="5" ht="38" customHeight="1">
      <c r="A5" s="3" t="inlineStr">
        <is>
          <t>작성 방법(입력 칸)</t>
        </is>
      </c>
      <c r="B5" s="4" t="inlineStr">
        <is>
          <t>'관리항목' 시트의 노란색 칸(사내 하한·상한·목표 '확정값')만 입력한다. 비워 두면 회색 칸의 시스템 초기값을 계속 사용한다.</t>
        </is>
      </c>
    </row>
    <row r="6" ht="22" customHeight="1">
      <c r="A6" s="3" t="inlineStr">
        <is>
          <t>범례 — 노란 칸</t>
        </is>
      </c>
      <c r="B6" s="5" t="inlineStr">
        <is>
          <t>공장이 입력할 확정값</t>
        </is>
      </c>
    </row>
    <row r="7" ht="22" customHeight="1">
      <c r="A7" s="3" t="inlineStr">
        <is>
          <t>범례 — 회색 칸</t>
        </is>
      </c>
      <c r="B7" s="6" t="inlineStr">
        <is>
          <t>시스템 초기값: 업계 경험칙 기반(추정). 공장 데이터·실험으로 검증 후 확정 필요</t>
        </is>
      </c>
    </row>
    <row r="8" ht="22" customHeight="1">
      <c r="A8" s="3" t="inlineStr">
        <is>
          <t>범례 — 파란 글씨</t>
        </is>
      </c>
      <c r="B8" s="7" t="inlineStr">
        <is>
          <t>KS 규격값(외부 근거). 수정 대상 아님 — 근거는 'KS규격_근거' 시트</t>
        </is>
      </c>
    </row>
    <row r="9" ht="38" customHeight="1">
      <c r="A9" s="3" t="inlineStr">
        <is>
          <t>작성 예시</t>
        </is>
      </c>
      <c r="B9" s="4" t="inlineStr">
        <is>
          <t>예) 클링커 자유석회(f-CaO): 확정 하한 0.5 / 확정 상한 1.6 / 확정 목표 1.1  ← 숫자만 입력(단위 제외)</t>
        </is>
      </c>
    </row>
    <row r="10" ht="38" customHeight="1">
      <c r="A10" s="3" t="inlineStr">
        <is>
          <t>사실/추정 구분</t>
        </is>
      </c>
      <c r="B10" s="4" t="inlineStr">
        <is>
          <t>KS 값 = 규격(사실, 원문 대조 권장) · 사내 초기값·지식베이스 수치 = 경험칙(추정) · 진단 판정 '데이터 지지' = 측정 데이터로 확인된 변화(사실)</t>
        </is>
      </c>
    </row>
    <row r="11" ht="38" customHeight="1">
      <c r="A11" s="3" t="inlineStr">
        <is>
          <t>시트 구성</t>
        </is>
      </c>
      <c r="B11" s="4" t="inlineStr">
        <is>
          <t>요약 · 관리항목 · 알림규칙 · SPC판정규칙 · 원인진단_지식베이스 · 데이터입력_항목 · KS규격_근거 · 구축로드맵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zoomScale="9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1" customWidth="1" min="5" max="5"/>
    <col width="15" customWidth="1" min="6" max="6"/>
    <col width="12" customWidth="1" min="7" max="7"/>
  </cols>
  <sheetData>
    <row r="1">
      <c r="A1" s="8" t="inlineStr">
        <is>
          <t>관리항목 요약 — 공정별 현황 (수식으로 '관리항목' 시트에서 자동 집계)</t>
        </is>
      </c>
    </row>
    <row r="3" ht="30" customHeight="1">
      <c r="A3" s="9" t="inlineStr">
        <is>
          <t>공정</t>
        </is>
      </c>
      <c r="B3" s="9" t="inlineStr">
        <is>
          <t>관리항목 수(행)</t>
        </is>
      </c>
      <c r="C3" s="9" t="inlineStr">
        <is>
          <t>KS 기준 보유</t>
        </is>
      </c>
      <c r="D3" s="9" t="inlineStr">
        <is>
          <t>핵심관리항목</t>
        </is>
      </c>
      <c r="E3" s="9" t="inlineStr">
        <is>
          <t>SPC 적용</t>
        </is>
      </c>
      <c r="F3" s="9" t="inlineStr">
        <is>
          <t>확정값 입력 완료</t>
        </is>
      </c>
      <c r="G3" s="9" t="inlineStr">
        <is>
          <t>확정 진행률</t>
        </is>
      </c>
    </row>
    <row r="4">
      <c r="A4" s="3" t="inlineStr">
        <is>
          <t>원료</t>
        </is>
      </c>
      <c r="B4" s="10">
        <f>COUNTIF(관리항목!$B$2:$B$84,A4)</f>
        <v/>
      </c>
      <c r="C4" s="10">
        <f>COUNTIFS(관리항목!$B$2:$B$84,A4,관리항목!$J$2:$J$84,"&lt;&gt;")+COUNTIFS(관리항목!$B$2:$B$84,A4,관리항목!$J$2:$J$84,"",관리항목!$K$2:$K$84,"&lt;&gt;")</f>
        <v/>
      </c>
      <c r="D4" s="10">
        <f>COUNTIFS(관리항목!$B$2:$B$84,A4,관리항목!$U$2:$U$84,"●")</f>
        <v/>
      </c>
      <c r="E4" s="10">
        <f>COUNTIFS(관리항목!$B$2:$B$84,A4,관리항목!$T$2:$T$84,"&lt;&gt;-")</f>
        <v/>
      </c>
      <c r="F4" s="10">
        <f>SUMPRODUCT((관리항목!$B$2:$B$84=A4)*((LEN(관리항목!$Q$2:$Q$84)+LEN(관리항목!$R$2:$R$84)+LEN(관리항목!$S$2:$S$84))&gt;0))</f>
        <v/>
      </c>
      <c r="G4" s="11">
        <f>IFERROR(F4/B4,0)</f>
        <v/>
      </c>
    </row>
    <row r="5">
      <c r="A5" s="3" t="inlineStr">
        <is>
          <t>소성(킬른)</t>
        </is>
      </c>
      <c r="B5" s="10">
        <f>COUNTIF(관리항목!$B$2:$B$84,A5)</f>
        <v/>
      </c>
      <c r="C5" s="10">
        <f>COUNTIFS(관리항목!$B$2:$B$84,A5,관리항목!$J$2:$J$84,"&lt;&gt;")+COUNTIFS(관리항목!$B$2:$B$84,A5,관리항목!$J$2:$J$84,"",관리항목!$K$2:$K$84,"&lt;&gt;")</f>
        <v/>
      </c>
      <c r="D5" s="10">
        <f>COUNTIFS(관리항목!$B$2:$B$84,A5,관리항목!$U$2:$U$84,"●")</f>
        <v/>
      </c>
      <c r="E5" s="10">
        <f>COUNTIFS(관리항목!$B$2:$B$84,A5,관리항목!$T$2:$T$84,"&lt;&gt;-")</f>
        <v/>
      </c>
      <c r="F5" s="10">
        <f>SUMPRODUCT((관리항목!$B$2:$B$84=A5)*((LEN(관리항목!$Q$2:$Q$84)+LEN(관리항목!$R$2:$R$84)+LEN(관리항목!$S$2:$S$84))&gt;0))</f>
        <v/>
      </c>
      <c r="G5" s="11">
        <f>IFERROR(F5/B5,0)</f>
        <v/>
      </c>
    </row>
    <row r="6">
      <c r="A6" s="3" t="inlineStr">
        <is>
          <t>클링커</t>
        </is>
      </c>
      <c r="B6" s="10">
        <f>COUNTIF(관리항목!$B$2:$B$84,A6)</f>
        <v/>
      </c>
      <c r="C6" s="10">
        <f>COUNTIFS(관리항목!$B$2:$B$84,A6,관리항목!$J$2:$J$84,"&lt;&gt;")+COUNTIFS(관리항목!$B$2:$B$84,A6,관리항목!$J$2:$J$84,"",관리항목!$K$2:$K$84,"&lt;&gt;")</f>
        <v/>
      </c>
      <c r="D6" s="10">
        <f>COUNTIFS(관리항목!$B$2:$B$84,A6,관리항목!$U$2:$U$84,"●")</f>
        <v/>
      </c>
      <c r="E6" s="10">
        <f>COUNTIFS(관리항목!$B$2:$B$84,A6,관리항목!$T$2:$T$84,"&lt;&gt;-")</f>
        <v/>
      </c>
      <c r="F6" s="10">
        <f>SUMPRODUCT((관리항목!$B$2:$B$84=A6)*((LEN(관리항목!$Q$2:$Q$84)+LEN(관리항목!$R$2:$R$84)+LEN(관리항목!$S$2:$S$84))&gt;0))</f>
        <v/>
      </c>
      <c r="G6" s="11">
        <f>IFERROR(F6/B6,0)</f>
        <v/>
      </c>
    </row>
    <row r="7">
      <c r="A7" s="3" t="inlineStr">
        <is>
          <t>시멘트(분쇄)</t>
        </is>
      </c>
      <c r="B7" s="10">
        <f>COUNTIF(관리항목!$B$2:$B$84,A7)</f>
        <v/>
      </c>
      <c r="C7" s="10">
        <f>COUNTIFS(관리항목!$B$2:$B$84,A7,관리항목!$J$2:$J$84,"&lt;&gt;")+COUNTIFS(관리항목!$B$2:$B$84,A7,관리항목!$J$2:$J$84,"",관리항목!$K$2:$K$84,"&lt;&gt;")</f>
        <v/>
      </c>
      <c r="D7" s="10">
        <f>COUNTIFS(관리항목!$B$2:$B$84,A7,관리항목!$U$2:$U$84,"●")</f>
        <v/>
      </c>
      <c r="E7" s="10">
        <f>COUNTIFS(관리항목!$B$2:$B$84,A7,관리항목!$T$2:$T$84,"&lt;&gt;-")</f>
        <v/>
      </c>
      <c r="F7" s="10">
        <f>SUMPRODUCT((관리항목!$B$2:$B$84=A7)*((LEN(관리항목!$Q$2:$Q$84)+LEN(관리항목!$R$2:$R$84)+LEN(관리항목!$S$2:$S$84))&gt;0))</f>
        <v/>
      </c>
      <c r="G7" s="11">
        <f>IFERROR(F7/B7,0)</f>
        <v/>
      </c>
    </row>
    <row r="8">
      <c r="A8" s="3" t="inlineStr">
        <is>
          <t>제품 물성</t>
        </is>
      </c>
      <c r="B8" s="10">
        <f>COUNTIF(관리항목!$B$2:$B$84,A8)</f>
        <v/>
      </c>
      <c r="C8" s="10">
        <f>COUNTIFS(관리항목!$B$2:$B$84,A8,관리항목!$J$2:$J$84,"&lt;&gt;")+COUNTIFS(관리항목!$B$2:$B$84,A8,관리항목!$J$2:$J$84,"",관리항목!$K$2:$K$84,"&lt;&gt;")</f>
        <v/>
      </c>
      <c r="D8" s="10">
        <f>COUNTIFS(관리항목!$B$2:$B$84,A8,관리항목!$U$2:$U$84,"●")</f>
        <v/>
      </c>
      <c r="E8" s="10">
        <f>COUNTIFS(관리항목!$B$2:$B$84,A8,관리항목!$T$2:$T$84,"&lt;&gt;-")</f>
        <v/>
      </c>
      <c r="F8" s="10">
        <f>SUMPRODUCT((관리항목!$B$2:$B$84=A8)*((LEN(관리항목!$Q$2:$Q$84)+LEN(관리항목!$R$2:$R$84)+LEN(관리항목!$S$2:$S$84))&gt;0))</f>
        <v/>
      </c>
      <c r="G8" s="11">
        <f>IFERROR(F8/B8,0)</f>
        <v/>
      </c>
    </row>
    <row r="9">
      <c r="A9" s="3" t="inlineStr">
        <is>
          <t>시험 조건</t>
        </is>
      </c>
      <c r="B9" s="10">
        <f>COUNTIF(관리항목!$B$2:$B$84,A9)</f>
        <v/>
      </c>
      <c r="C9" s="10">
        <f>COUNTIFS(관리항목!$B$2:$B$84,A9,관리항목!$J$2:$J$84,"&lt;&gt;")+COUNTIFS(관리항목!$B$2:$B$84,A9,관리항목!$J$2:$J$84,"",관리항목!$K$2:$K$84,"&lt;&gt;")</f>
        <v/>
      </c>
      <c r="D9" s="10">
        <f>COUNTIFS(관리항목!$B$2:$B$84,A9,관리항목!$U$2:$U$84,"●")</f>
        <v/>
      </c>
      <c r="E9" s="10">
        <f>COUNTIFS(관리항목!$B$2:$B$84,A9,관리항목!$T$2:$T$84,"&lt;&gt;-")</f>
        <v/>
      </c>
      <c r="F9" s="10">
        <f>SUMPRODUCT((관리항목!$B$2:$B$84=A9)*((LEN(관리항목!$Q$2:$Q$84)+LEN(관리항목!$R$2:$R$84)+LEN(관리항목!$S$2:$S$84))&gt;0))</f>
        <v/>
      </c>
      <c r="G9" s="11">
        <f>IFERROR(F9/B9,0)</f>
        <v/>
      </c>
    </row>
    <row r="10">
      <c r="A10" s="3" t="inlineStr">
        <is>
          <t>합계</t>
        </is>
      </c>
      <c r="B10" s="12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  <c r="F10" s="12">
        <f>SUM(F4:F9)</f>
        <v/>
      </c>
      <c r="G10" s="13">
        <f>IFERROR(F10/B10,0)</f>
        <v/>
      </c>
    </row>
    <row r="12">
      <c r="A12" s="2" t="inlineStr">
        <is>
          <t>※ '관리항목 수(행)'은 품종별 기준을 따로 세므로 항목 수보다 많을 수 있음. KS 기준 보유 = KS 하한 또는 상한이 있는 행.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"/>
  <sheetViews>
    <sheetView zoomScale="9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24" customWidth="1" min="4" max="4"/>
    <col width="7" customWidth="1" min="5" max="5"/>
    <col width="9" customWidth="1" min="6" max="6"/>
    <col width="20" customWidth="1" min="7" max="7"/>
    <col width="16" customWidth="1" min="8" max="8"/>
    <col width="7" customWidth="1" min="9" max="9"/>
    <col width="8" customWidth="1" min="10" max="10"/>
    <col width="8" customWidth="1" min="11" max="11"/>
    <col width="26" customWidth="1" min="12" max="12"/>
    <col width="10" customWidth="1" min="13" max="13"/>
    <col width="10" customWidth="1" min="14" max="14"/>
    <col width="9" customWidth="1" min="15" max="15"/>
    <col width="22" customWidth="1" min="16" max="16"/>
    <col width="10" customWidth="1" min="17" max="17"/>
    <col width="10" customWidth="1" min="18" max="18"/>
    <col width="9" customWidth="1" min="19" max="19"/>
    <col width="14" customWidth="1" min="20" max="20"/>
    <col width="8" customWidth="1" min="21" max="21"/>
    <col width="44" customWidth="1" min="22" max="22"/>
  </cols>
  <sheetData>
    <row r="1" ht="30" customHeight="1">
      <c r="A1" s="9" t="inlineStr">
        <is>
          <t>No</t>
        </is>
      </c>
      <c r="B1" s="9" t="inlineStr">
        <is>
          <t>공정</t>
        </is>
      </c>
      <c r="C1" s="9" t="inlineStr">
        <is>
          <t>코드</t>
        </is>
      </c>
      <c r="D1" s="9" t="inlineStr">
        <is>
          <t>항목</t>
        </is>
      </c>
      <c r="E1" s="9" t="inlineStr">
        <is>
          <t>단위</t>
        </is>
      </c>
      <c r="F1" s="9" t="inlineStr">
        <is>
          <t>측정 주기</t>
        </is>
      </c>
      <c r="G1" s="9" t="inlineStr">
        <is>
          <t>데이터 출처</t>
        </is>
      </c>
      <c r="H1" s="9" t="inlineStr">
        <is>
          <t>시험방법</t>
        </is>
      </c>
      <c r="I1" s="9" t="inlineStr">
        <is>
          <t>품종</t>
        </is>
      </c>
      <c r="J1" s="9" t="inlineStr">
        <is>
          <t>KS 하한</t>
        </is>
      </c>
      <c r="K1" s="9" t="inlineStr">
        <is>
          <t>KS 상한</t>
        </is>
      </c>
      <c r="L1" s="9" t="inlineStr">
        <is>
          <t>KS 근거</t>
        </is>
      </c>
      <c r="M1" s="9" t="inlineStr">
        <is>
          <t>사내 하한(초기)</t>
        </is>
      </c>
      <c r="N1" s="9" t="inlineStr">
        <is>
          <t>사내 상한(초기)</t>
        </is>
      </c>
      <c r="O1" s="9" t="inlineStr">
        <is>
          <t>목표(초기)</t>
        </is>
      </c>
      <c r="P1" s="9" t="inlineStr">
        <is>
          <t>초기값 근거</t>
        </is>
      </c>
      <c r="Q1" s="9" t="inlineStr">
        <is>
          <t>사내 하한(확정)</t>
        </is>
      </c>
      <c r="R1" s="9" t="inlineStr">
        <is>
          <t>사내 상한(확정)</t>
        </is>
      </c>
      <c r="S1" s="9" t="inlineStr">
        <is>
          <t>목표(확정)</t>
        </is>
      </c>
      <c r="T1" s="9" t="inlineStr">
        <is>
          <t>SPC 판정규칙</t>
        </is>
      </c>
      <c r="U1" s="9" t="inlineStr">
        <is>
          <t>핵심관리</t>
        </is>
      </c>
      <c r="V1" s="9" t="inlineStr">
        <is>
          <t>설명</t>
        </is>
      </c>
    </row>
    <row r="2">
      <c r="A2" s="4" t="n">
        <v>1</v>
      </c>
      <c r="B2" s="4" t="inlineStr">
        <is>
          <t>원료</t>
        </is>
      </c>
      <c r="C2" s="4" t="inlineStr">
        <is>
          <t>rm_cao</t>
        </is>
      </c>
      <c r="D2" s="4" t="inlineStr">
        <is>
          <t>원료 CaO</t>
        </is>
      </c>
      <c r="E2" s="4" t="inlineStr">
        <is>
          <t>%</t>
        </is>
      </c>
      <c r="F2" s="4" t="inlineStr">
        <is>
          <t>2시간</t>
        </is>
      </c>
      <c r="G2" s="4" t="inlineStr">
        <is>
          <t>XRF(시험실/온라인)·잔사 시험</t>
        </is>
      </c>
      <c r="H2" s="4" t="inlineStr">
        <is>
          <t>-</t>
        </is>
      </c>
      <c r="I2" s="4" t="inlineStr">
        <is>
          <t>전 품종</t>
        </is>
      </c>
      <c r="J2" s="14" t="n"/>
      <c r="K2" s="14" t="n"/>
      <c r="L2" s="4" t="inlineStr">
        <is>
          <t>-</t>
        </is>
      </c>
      <c r="M2" s="15" t="n"/>
      <c r="N2" s="15" t="n"/>
      <c r="O2" s="15" t="n"/>
      <c r="P2" s="4" t="inlineStr">
        <is>
          <t>모니터링 항목(기준 미설정)</t>
        </is>
      </c>
      <c r="Q2" s="16" t="n"/>
      <c r="R2" s="16" t="n"/>
      <c r="S2" s="16" t="n"/>
      <c r="T2" s="4" t="inlineStr">
        <is>
          <t>-</t>
        </is>
      </c>
      <c r="U2" s="10" t="inlineStr"/>
      <c r="V2" s="4" t="inlineStr"/>
    </row>
    <row r="3">
      <c r="A3" s="4" t="n">
        <v>2</v>
      </c>
      <c r="B3" s="4" t="inlineStr">
        <is>
          <t>원료</t>
        </is>
      </c>
      <c r="C3" s="4" t="inlineStr">
        <is>
          <t>rm_sio2</t>
        </is>
      </c>
      <c r="D3" s="4" t="inlineStr">
        <is>
          <t>원료 SiO₂</t>
        </is>
      </c>
      <c r="E3" s="4" t="inlineStr">
        <is>
          <t>%</t>
        </is>
      </c>
      <c r="F3" s="4" t="inlineStr">
        <is>
          <t>2시간</t>
        </is>
      </c>
      <c r="G3" s="4" t="inlineStr">
        <is>
          <t>XRF(시험실/온라인)·잔사 시험</t>
        </is>
      </c>
      <c r="H3" s="4" t="inlineStr">
        <is>
          <t>-</t>
        </is>
      </c>
      <c r="I3" s="4" t="inlineStr">
        <is>
          <t>전 품종</t>
        </is>
      </c>
      <c r="J3" s="14" t="n"/>
      <c r="K3" s="14" t="n"/>
      <c r="L3" s="4" t="inlineStr">
        <is>
          <t>-</t>
        </is>
      </c>
      <c r="M3" s="15" t="n"/>
      <c r="N3" s="15" t="n"/>
      <c r="O3" s="15" t="n"/>
      <c r="P3" s="4" t="inlineStr">
        <is>
          <t>모니터링 항목(기준 미설정)</t>
        </is>
      </c>
      <c r="Q3" s="16" t="n"/>
      <c r="R3" s="16" t="n"/>
      <c r="S3" s="16" t="n"/>
      <c r="T3" s="4" t="inlineStr">
        <is>
          <t>-</t>
        </is>
      </c>
      <c r="U3" s="10" t="inlineStr"/>
      <c r="V3" s="4" t="inlineStr"/>
    </row>
    <row r="4">
      <c r="A4" s="4" t="n">
        <v>3</v>
      </c>
      <c r="B4" s="4" t="inlineStr">
        <is>
          <t>원료</t>
        </is>
      </c>
      <c r="C4" s="4" t="inlineStr">
        <is>
          <t>rm_al2o3</t>
        </is>
      </c>
      <c r="D4" s="4" t="inlineStr">
        <is>
          <t>원료 Al₂O₃</t>
        </is>
      </c>
      <c r="E4" s="4" t="inlineStr">
        <is>
          <t>%</t>
        </is>
      </c>
      <c r="F4" s="4" t="inlineStr">
        <is>
          <t>2시간</t>
        </is>
      </c>
      <c r="G4" s="4" t="inlineStr">
        <is>
          <t>XRF(시험실/온라인)·잔사 시험</t>
        </is>
      </c>
      <c r="H4" s="4" t="inlineStr">
        <is>
          <t>-</t>
        </is>
      </c>
      <c r="I4" s="4" t="inlineStr">
        <is>
          <t>전 품종</t>
        </is>
      </c>
      <c r="J4" s="14" t="n"/>
      <c r="K4" s="14" t="n"/>
      <c r="L4" s="4" t="inlineStr">
        <is>
          <t>-</t>
        </is>
      </c>
      <c r="M4" s="15" t="n"/>
      <c r="N4" s="15" t="n"/>
      <c r="O4" s="15" t="n"/>
      <c r="P4" s="4" t="inlineStr">
        <is>
          <t>모니터링 항목(기준 미설정)</t>
        </is>
      </c>
      <c r="Q4" s="16" t="n"/>
      <c r="R4" s="16" t="n"/>
      <c r="S4" s="16" t="n"/>
      <c r="T4" s="4" t="inlineStr">
        <is>
          <t>-</t>
        </is>
      </c>
      <c r="U4" s="10" t="inlineStr"/>
      <c r="V4" s="4" t="inlineStr"/>
    </row>
    <row r="5">
      <c r="A5" s="4" t="n">
        <v>4</v>
      </c>
      <c r="B5" s="4" t="inlineStr">
        <is>
          <t>원료</t>
        </is>
      </c>
      <c r="C5" s="4" t="inlineStr">
        <is>
          <t>rm_fe2o3</t>
        </is>
      </c>
      <c r="D5" s="4" t="inlineStr">
        <is>
          <t>원료 Fe₂O₃</t>
        </is>
      </c>
      <c r="E5" s="4" t="inlineStr">
        <is>
          <t>%</t>
        </is>
      </c>
      <c r="F5" s="4" t="inlineStr">
        <is>
          <t>2시간</t>
        </is>
      </c>
      <c r="G5" s="4" t="inlineStr">
        <is>
          <t>XRF(시험실/온라인)·잔사 시험</t>
        </is>
      </c>
      <c r="H5" s="4" t="inlineStr">
        <is>
          <t>-</t>
        </is>
      </c>
      <c r="I5" s="4" t="inlineStr">
        <is>
          <t>전 품종</t>
        </is>
      </c>
      <c r="J5" s="14" t="n"/>
      <c r="K5" s="14" t="n"/>
      <c r="L5" s="4" t="inlineStr">
        <is>
          <t>-</t>
        </is>
      </c>
      <c r="M5" s="15" t="n"/>
      <c r="N5" s="15" t="n"/>
      <c r="O5" s="15" t="n"/>
      <c r="P5" s="4" t="inlineStr">
        <is>
          <t>모니터링 항목(기준 미설정)</t>
        </is>
      </c>
      <c r="Q5" s="16" t="n"/>
      <c r="R5" s="16" t="n"/>
      <c r="S5" s="16" t="n"/>
      <c r="T5" s="4" t="inlineStr">
        <is>
          <t>-</t>
        </is>
      </c>
      <c r="U5" s="10" t="inlineStr"/>
      <c r="V5" s="4" t="inlineStr"/>
    </row>
    <row r="6">
      <c r="A6" s="4" t="n">
        <v>5</v>
      </c>
      <c r="B6" s="4" t="inlineStr">
        <is>
          <t>원료</t>
        </is>
      </c>
      <c r="C6" s="4" t="inlineStr">
        <is>
          <t>rm_so3</t>
        </is>
      </c>
      <c r="D6" s="4" t="inlineStr">
        <is>
          <t>원료 SO₃</t>
        </is>
      </c>
      <c r="E6" s="4" t="inlineStr">
        <is>
          <t>%</t>
        </is>
      </c>
      <c r="F6" s="4" t="inlineStr">
        <is>
          <t>2시간</t>
        </is>
      </c>
      <c r="G6" s="4" t="inlineStr">
        <is>
          <t>XRF(시험실/온라인)·잔사 시험</t>
        </is>
      </c>
      <c r="H6" s="4" t="inlineStr">
        <is>
          <t>-</t>
        </is>
      </c>
      <c r="I6" s="4" t="inlineStr">
        <is>
          <t>전 품종</t>
        </is>
      </c>
      <c r="J6" s="14" t="n"/>
      <c r="K6" s="14" t="n"/>
      <c r="L6" s="4" t="inlineStr">
        <is>
          <t>-</t>
        </is>
      </c>
      <c r="M6" s="15" t="n"/>
      <c r="N6" s="15" t="n"/>
      <c r="O6" s="15" t="n"/>
      <c r="P6" s="4" t="inlineStr">
        <is>
          <t>모니터링 항목(기준 미설정)</t>
        </is>
      </c>
      <c r="Q6" s="16" t="n"/>
      <c r="R6" s="16" t="n"/>
      <c r="S6" s="16" t="n"/>
      <c r="T6" s="4" t="inlineStr">
        <is>
          <t>-</t>
        </is>
      </c>
      <c r="U6" s="10" t="inlineStr"/>
      <c r="V6" s="4" t="inlineStr"/>
    </row>
    <row r="7">
      <c r="A7" s="4" t="n">
        <v>6</v>
      </c>
      <c r="B7" s="4" t="inlineStr">
        <is>
          <t>원료</t>
        </is>
      </c>
      <c r="C7" s="4" t="inlineStr">
        <is>
          <t>rm_k2o</t>
        </is>
      </c>
      <c r="D7" s="4" t="inlineStr">
        <is>
          <t>원료 K₂O</t>
        </is>
      </c>
      <c r="E7" s="4" t="inlineStr">
        <is>
          <t>%</t>
        </is>
      </c>
      <c r="F7" s="4" t="inlineStr">
        <is>
          <t>2시간</t>
        </is>
      </c>
      <c r="G7" s="4" t="inlineStr">
        <is>
          <t>XRF(시험실/온라인)·잔사 시험</t>
        </is>
      </c>
      <c r="H7" s="4" t="inlineStr">
        <is>
          <t>-</t>
        </is>
      </c>
      <c r="I7" s="4" t="inlineStr">
        <is>
          <t>전 품종</t>
        </is>
      </c>
      <c r="J7" s="14" t="n"/>
      <c r="K7" s="14" t="n"/>
      <c r="L7" s="4" t="inlineStr">
        <is>
          <t>-</t>
        </is>
      </c>
      <c r="M7" s="15" t="n"/>
      <c r="N7" s="15" t="n"/>
      <c r="O7" s="15" t="n"/>
      <c r="P7" s="4" t="inlineStr">
        <is>
          <t>모니터링 항목(기준 미설정)</t>
        </is>
      </c>
      <c r="Q7" s="16" t="n"/>
      <c r="R7" s="16" t="n"/>
      <c r="S7" s="16" t="n"/>
      <c r="T7" s="4" t="inlineStr">
        <is>
          <t>-</t>
        </is>
      </c>
      <c r="U7" s="10" t="inlineStr"/>
      <c r="V7" s="4" t="inlineStr"/>
    </row>
    <row r="8">
      <c r="A8" s="4" t="n">
        <v>7</v>
      </c>
      <c r="B8" s="4" t="inlineStr">
        <is>
          <t>원료</t>
        </is>
      </c>
      <c r="C8" s="4" t="inlineStr">
        <is>
          <t>rm_na2o</t>
        </is>
      </c>
      <c r="D8" s="4" t="inlineStr">
        <is>
          <t>원료 Na₂O</t>
        </is>
      </c>
      <c r="E8" s="4" t="inlineStr">
        <is>
          <t>%</t>
        </is>
      </c>
      <c r="F8" s="4" t="inlineStr">
        <is>
          <t>2시간</t>
        </is>
      </c>
      <c r="G8" s="4" t="inlineStr">
        <is>
          <t>XRF(시험실/온라인)·잔사 시험</t>
        </is>
      </c>
      <c r="H8" s="4" t="inlineStr">
        <is>
          <t>-</t>
        </is>
      </c>
      <c r="I8" s="4" t="inlineStr">
        <is>
          <t>전 품종</t>
        </is>
      </c>
      <c r="J8" s="14" t="n"/>
      <c r="K8" s="14" t="n"/>
      <c r="L8" s="4" t="inlineStr">
        <is>
          <t>-</t>
        </is>
      </c>
      <c r="M8" s="15" t="n"/>
      <c r="N8" s="15" t="n"/>
      <c r="O8" s="15" t="n"/>
      <c r="P8" s="4" t="inlineStr">
        <is>
          <t>모니터링 항목(기준 미설정)</t>
        </is>
      </c>
      <c r="Q8" s="16" t="n"/>
      <c r="R8" s="16" t="n"/>
      <c r="S8" s="16" t="n"/>
      <c r="T8" s="4" t="inlineStr">
        <is>
          <t>-</t>
        </is>
      </c>
      <c r="U8" s="10" t="inlineStr"/>
      <c r="V8" s="4" t="inlineStr"/>
    </row>
    <row r="9">
      <c r="A9" s="4" t="n">
        <v>8</v>
      </c>
      <c r="B9" s="4" t="inlineStr">
        <is>
          <t>원료</t>
        </is>
      </c>
      <c r="C9" s="4" t="inlineStr">
        <is>
          <t>rm_mgo</t>
        </is>
      </c>
      <c r="D9" s="4" t="inlineStr">
        <is>
          <t>원료 MgO</t>
        </is>
      </c>
      <c r="E9" s="4" t="inlineStr">
        <is>
          <t>%</t>
        </is>
      </c>
      <c r="F9" s="4" t="inlineStr">
        <is>
          <t>2시간</t>
        </is>
      </c>
      <c r="G9" s="4" t="inlineStr">
        <is>
          <t>XRF(시험실/온라인)·잔사 시험</t>
        </is>
      </c>
      <c r="H9" s="4" t="inlineStr">
        <is>
          <t>-</t>
        </is>
      </c>
      <c r="I9" s="4" t="inlineStr">
        <is>
          <t>전 품종</t>
        </is>
      </c>
      <c r="J9" s="14" t="n"/>
      <c r="K9" s="14" t="n"/>
      <c r="L9" s="4" t="inlineStr">
        <is>
          <t>-</t>
        </is>
      </c>
      <c r="M9" s="15" t="n"/>
      <c r="N9" s="15" t="n">
        <v>2.5</v>
      </c>
      <c r="O9" s="15" t="n"/>
      <c r="P9" s="4" t="inlineStr">
        <is>
          <t>경험칙 초기값 — 공장 기준으로 교체 필요</t>
        </is>
      </c>
      <c r="Q9" s="16" t="n"/>
      <c r="R9" s="16" t="n"/>
      <c r="S9" s="16" t="n"/>
      <c r="T9" s="4" t="inlineStr">
        <is>
          <t>R1</t>
        </is>
      </c>
      <c r="U9" s="10" t="inlineStr"/>
      <c r="V9" s="4" t="inlineStr">
        <is>
          <t>석회석 내 백운석(돌로마이트) 혼입 지표. 클링커 MgO≈원료×1.55</t>
        </is>
      </c>
    </row>
    <row r="10">
      <c r="A10" s="4" t="n">
        <v>9</v>
      </c>
      <c r="B10" s="4" t="inlineStr">
        <is>
          <t>원료</t>
        </is>
      </c>
      <c r="C10" s="4" t="inlineStr">
        <is>
          <t>rm_lsf</t>
        </is>
      </c>
      <c r="D10" s="17" t="inlineStr">
        <is>
          <t>원료 LSF</t>
        </is>
      </c>
      <c r="E10" s="4" t="inlineStr"/>
      <c r="F10" s="4" t="inlineStr">
        <is>
          <t>2시간</t>
        </is>
      </c>
      <c r="G10" s="4" t="inlineStr">
        <is>
          <t>XRF(시험실/온라인)·잔사 시험</t>
        </is>
      </c>
      <c r="H10" s="4" t="inlineStr">
        <is>
          <t>-</t>
        </is>
      </c>
      <c r="I10" s="4" t="inlineStr">
        <is>
          <t>전 품종</t>
        </is>
      </c>
      <c r="J10" s="14" t="n"/>
      <c r="K10" s="14" t="n"/>
      <c r="L10" s="4" t="inlineStr">
        <is>
          <t>-</t>
        </is>
      </c>
      <c r="M10" s="15" t="n">
        <v>97</v>
      </c>
      <c r="N10" s="15" t="n">
        <v>101</v>
      </c>
      <c r="O10" s="15" t="n">
        <v>99</v>
      </c>
      <c r="P10" s="4" t="inlineStr">
        <is>
          <t>경험칙 초기값 — 공장 기준으로 교체 필요</t>
        </is>
      </c>
      <c r="Q10" s="16" t="n"/>
      <c r="R10" s="16" t="n"/>
      <c r="S10" s="16" t="n"/>
      <c r="T10" s="4" t="inlineStr">
        <is>
          <t>R1, R2, R3, R5, R6</t>
        </is>
      </c>
      <c r="U10" s="10" t="inlineStr">
        <is>
          <t>●</t>
        </is>
      </c>
      <c r="V10" s="4" t="inlineStr">
        <is>
          <t>석탄회 흡수로 클링커 LSF는 원료보다 약 3~4 낮아짐(공장별 상이)</t>
        </is>
      </c>
    </row>
    <row r="11">
      <c r="A11" s="4" t="n">
        <v>10</v>
      </c>
      <c r="B11" s="4" t="inlineStr">
        <is>
          <t>원료</t>
        </is>
      </c>
      <c r="C11" s="4" t="inlineStr">
        <is>
          <t>rm_sm</t>
        </is>
      </c>
      <c r="D11" s="17" t="inlineStr">
        <is>
          <t>원료 SM</t>
        </is>
      </c>
      <c r="E11" s="4" t="inlineStr"/>
      <c r="F11" s="4" t="inlineStr">
        <is>
          <t>2시간</t>
        </is>
      </c>
      <c r="G11" s="4" t="inlineStr">
        <is>
          <t>XRF(시험실/온라인)·잔사 시험</t>
        </is>
      </c>
      <c r="H11" s="4" t="inlineStr">
        <is>
          <t>-</t>
        </is>
      </c>
      <c r="I11" s="4" t="inlineStr">
        <is>
          <t>전 품종</t>
        </is>
      </c>
      <c r="J11" s="14" t="n"/>
      <c r="K11" s="14" t="n"/>
      <c r="L11" s="4" t="inlineStr">
        <is>
          <t>-</t>
        </is>
      </c>
      <c r="M11" s="15" t="n">
        <v>2.35</v>
      </c>
      <c r="N11" s="15" t="n">
        <v>2.75</v>
      </c>
      <c r="O11" s="15" t="n">
        <v>2.55</v>
      </c>
      <c r="P11" s="4" t="inlineStr">
        <is>
          <t>경험칙 초기값 — 공장 기준으로 교체 필요</t>
        </is>
      </c>
      <c r="Q11" s="16" t="n"/>
      <c r="R11" s="16" t="n"/>
      <c r="S11" s="16" t="n"/>
      <c r="T11" s="4" t="inlineStr">
        <is>
          <t>R1, R2, R3, R5, R6</t>
        </is>
      </c>
      <c r="U11" s="10" t="inlineStr">
        <is>
          <t>●</t>
        </is>
      </c>
      <c r="V11" s="4" t="inlineStr"/>
    </row>
    <row r="12">
      <c r="A12" s="4" t="n">
        <v>11</v>
      </c>
      <c r="B12" s="4" t="inlineStr">
        <is>
          <t>원료</t>
        </is>
      </c>
      <c r="C12" s="4" t="inlineStr">
        <is>
          <t>rm_im</t>
        </is>
      </c>
      <c r="D12" s="4" t="inlineStr">
        <is>
          <t>원료 IM</t>
        </is>
      </c>
      <c r="E12" s="4" t="inlineStr"/>
      <c r="F12" s="4" t="inlineStr">
        <is>
          <t>2시간</t>
        </is>
      </c>
      <c r="G12" s="4" t="inlineStr">
        <is>
          <t>XRF(시험실/온라인)·잔사 시험</t>
        </is>
      </c>
      <c r="H12" s="4" t="inlineStr">
        <is>
          <t>-</t>
        </is>
      </c>
      <c r="I12" s="4" t="inlineStr">
        <is>
          <t>전 품종</t>
        </is>
      </c>
      <c r="J12" s="14" t="n"/>
      <c r="K12" s="14" t="n"/>
      <c r="L12" s="4" t="inlineStr">
        <is>
          <t>-</t>
        </is>
      </c>
      <c r="M12" s="15" t="n">
        <v>1.4</v>
      </c>
      <c r="N12" s="15" t="n">
        <v>1.8</v>
      </c>
      <c r="O12" s="15" t="n">
        <v>1.58</v>
      </c>
      <c r="P12" s="4" t="inlineStr">
        <is>
          <t>경험칙 초기값 — 공장 기준으로 교체 필요</t>
        </is>
      </c>
      <c r="Q12" s="16" t="n"/>
      <c r="R12" s="16" t="n"/>
      <c r="S12" s="16" t="n"/>
      <c r="T12" s="4" t="inlineStr">
        <is>
          <t>R1, R2, R3, R5, R6</t>
        </is>
      </c>
      <c r="U12" s="10" t="inlineStr"/>
      <c r="V12" s="4" t="inlineStr"/>
    </row>
    <row r="13">
      <c r="A13" s="4" t="n">
        <v>12</v>
      </c>
      <c r="B13" s="4" t="inlineStr">
        <is>
          <t>원료</t>
        </is>
      </c>
      <c r="C13" s="4" t="inlineStr">
        <is>
          <t>rm_r90</t>
        </is>
      </c>
      <c r="D13" s="17" t="inlineStr">
        <is>
          <t>원료 90μm 잔사</t>
        </is>
      </c>
      <c r="E13" s="4" t="inlineStr">
        <is>
          <t>%</t>
        </is>
      </c>
      <c r="F13" s="4" t="inlineStr">
        <is>
          <t>2시간</t>
        </is>
      </c>
      <c r="G13" s="4" t="inlineStr">
        <is>
          <t>XRF(시험실/온라인)·잔사 시험</t>
        </is>
      </c>
      <c r="H13" s="4" t="inlineStr">
        <is>
          <t>-</t>
        </is>
      </c>
      <c r="I13" s="4" t="inlineStr">
        <is>
          <t>전 품종</t>
        </is>
      </c>
      <c r="J13" s="14" t="n"/>
      <c r="K13" s="14" t="n"/>
      <c r="L13" s="4" t="inlineStr">
        <is>
          <t>-</t>
        </is>
      </c>
      <c r="M13" s="15" t="n"/>
      <c r="N13" s="15" t="n">
        <v>16</v>
      </c>
      <c r="O13" s="15" t="n">
        <v>13</v>
      </c>
      <c r="P13" s="4" t="inlineStr">
        <is>
          <t>경험칙 초기값 — 공장 기준으로 교체 필요</t>
        </is>
      </c>
      <c r="Q13" s="16" t="n"/>
      <c r="R13" s="16" t="n"/>
      <c r="S13" s="16" t="n"/>
      <c r="T13" s="4" t="inlineStr">
        <is>
          <t>R1, R2, R3, R5, R6</t>
        </is>
      </c>
      <c r="U13" s="10" t="inlineStr">
        <is>
          <t>●</t>
        </is>
      </c>
      <c r="V13" s="4" t="inlineStr">
        <is>
          <t>조대 석영·방해석 입자 → 소성성 저하, f-CaO 상승</t>
        </is>
      </c>
    </row>
    <row r="14">
      <c r="A14" s="4" t="n">
        <v>13</v>
      </c>
      <c r="B14" s="4" t="inlineStr">
        <is>
          <t>원료</t>
        </is>
      </c>
      <c r="C14" s="4" t="inlineStr">
        <is>
          <t>rm_r200</t>
        </is>
      </c>
      <c r="D14" s="4" t="inlineStr">
        <is>
          <t>원료 200μm 잔사</t>
        </is>
      </c>
      <c r="E14" s="4" t="inlineStr">
        <is>
          <t>%</t>
        </is>
      </c>
      <c r="F14" s="4" t="inlineStr">
        <is>
          <t>2시간</t>
        </is>
      </c>
      <c r="G14" s="4" t="inlineStr">
        <is>
          <t>XRF(시험실/온라인)·잔사 시험</t>
        </is>
      </c>
      <c r="H14" s="4" t="inlineStr">
        <is>
          <t>-</t>
        </is>
      </c>
      <c r="I14" s="4" t="inlineStr">
        <is>
          <t>전 품종</t>
        </is>
      </c>
      <c r="J14" s="14" t="n"/>
      <c r="K14" s="14" t="n"/>
      <c r="L14" s="4" t="inlineStr">
        <is>
          <t>-</t>
        </is>
      </c>
      <c r="M14" s="15" t="n"/>
      <c r="N14" s="15" t="n">
        <v>1.5</v>
      </c>
      <c r="O14" s="15" t="n">
        <v>1</v>
      </c>
      <c r="P14" s="4" t="inlineStr">
        <is>
          <t>경험칙 초기값 — 공장 기준으로 교체 필요</t>
        </is>
      </c>
      <c r="Q14" s="16" t="n"/>
      <c r="R14" s="16" t="n"/>
      <c r="S14" s="16" t="n"/>
      <c r="T14" s="4" t="inlineStr">
        <is>
          <t>R1</t>
        </is>
      </c>
      <c r="U14" s="10" t="inlineStr"/>
      <c r="V14" s="4" t="inlineStr"/>
    </row>
    <row r="15">
      <c r="A15" s="4" t="n">
        <v>14</v>
      </c>
      <c r="B15" s="4" t="inlineStr">
        <is>
          <t>원료</t>
        </is>
      </c>
      <c r="C15" s="4" t="inlineStr">
        <is>
          <t>rm_loi</t>
        </is>
      </c>
      <c r="D15" s="4" t="inlineStr">
        <is>
          <t>원료 강열감량</t>
        </is>
      </c>
      <c r="E15" s="4" t="inlineStr">
        <is>
          <t>%</t>
        </is>
      </c>
      <c r="F15" s="4" t="inlineStr">
        <is>
          <t>2시간</t>
        </is>
      </c>
      <c r="G15" s="4" t="inlineStr">
        <is>
          <t>XRF(시험실/온라인)·잔사 시험</t>
        </is>
      </c>
      <c r="H15" s="4" t="inlineStr">
        <is>
          <t>KS L 5120(강열감량)</t>
        </is>
      </c>
      <c r="I15" s="4" t="inlineStr">
        <is>
          <t>전 품종</t>
        </is>
      </c>
      <c r="J15" s="14" t="n"/>
      <c r="K15" s="14" t="n"/>
      <c r="L15" s="4" t="inlineStr">
        <is>
          <t>-</t>
        </is>
      </c>
      <c r="M15" s="15" t="n"/>
      <c r="N15" s="15" t="n"/>
      <c r="O15" s="15" t="n"/>
      <c r="P15" s="4" t="inlineStr">
        <is>
          <t>모니터링 항목(기준 미설정)</t>
        </is>
      </c>
      <c r="Q15" s="16" t="n"/>
      <c r="R15" s="16" t="n"/>
      <c r="S15" s="16" t="n"/>
      <c r="T15" s="4" t="inlineStr">
        <is>
          <t>-</t>
        </is>
      </c>
      <c r="U15" s="10" t="inlineStr"/>
      <c r="V15" s="4" t="inlineStr">
        <is>
          <t>미측정 시 CO₂ 화학양론(0.785·CaO + 1.092·MgO)으로 추정해 클링커 예측에 사용</t>
        </is>
      </c>
    </row>
    <row r="16">
      <c r="A16" s="4" t="n">
        <v>15</v>
      </c>
      <c r="B16" s="4" t="inlineStr">
        <is>
          <t>소성(킬른)</t>
        </is>
      </c>
      <c r="C16" s="4" t="inlineStr">
        <is>
          <t>kiln_feed</t>
        </is>
      </c>
      <c r="D16" s="4" t="inlineStr">
        <is>
          <t>원료 투입량</t>
        </is>
      </c>
      <c r="E16" s="4" t="inlineStr">
        <is>
          <t>t/h</t>
        </is>
      </c>
      <c r="F16" s="4" t="inlineStr">
        <is>
          <t>1시간</t>
        </is>
      </c>
      <c r="G16" s="4" t="inlineStr">
        <is>
          <t>DCS(킬른 운전)</t>
        </is>
      </c>
      <c r="H16" s="4" t="inlineStr">
        <is>
          <t>-</t>
        </is>
      </c>
      <c r="I16" s="4" t="inlineStr">
        <is>
          <t>전 품종</t>
        </is>
      </c>
      <c r="J16" s="14" t="n"/>
      <c r="K16" s="14" t="n"/>
      <c r="L16" s="4" t="inlineStr">
        <is>
          <t>-</t>
        </is>
      </c>
      <c r="M16" s="15" t="n"/>
      <c r="N16" s="15" t="n"/>
      <c r="O16" s="15" t="n"/>
      <c r="P16" s="4" t="inlineStr">
        <is>
          <t>운전 변수(기준 미설정)</t>
        </is>
      </c>
      <c r="Q16" s="16" t="n"/>
      <c r="R16" s="16" t="n"/>
      <c r="S16" s="16" t="n"/>
      <c r="T16" s="4" t="inlineStr">
        <is>
          <t>-</t>
        </is>
      </c>
      <c r="U16" s="10" t="inlineStr"/>
      <c r="V16" s="4" t="inlineStr"/>
    </row>
    <row r="17">
      <c r="A17" s="4" t="n">
        <v>16</v>
      </c>
      <c r="B17" s="4" t="inlineStr">
        <is>
          <t>소성(킬른)</t>
        </is>
      </c>
      <c r="C17" s="4" t="inlineStr">
        <is>
          <t>coal_rate</t>
        </is>
      </c>
      <c r="D17" s="4" t="inlineStr">
        <is>
          <t>석탄 투입량</t>
        </is>
      </c>
      <c r="E17" s="4" t="inlineStr">
        <is>
          <t>t/h</t>
        </is>
      </c>
      <c r="F17" s="4" t="inlineStr">
        <is>
          <t>1시간</t>
        </is>
      </c>
      <c r="G17" s="4" t="inlineStr">
        <is>
          <t>DCS(킬른 운전)</t>
        </is>
      </c>
      <c r="H17" s="4" t="inlineStr">
        <is>
          <t>-</t>
        </is>
      </c>
      <c r="I17" s="4" t="inlineStr">
        <is>
          <t>전 품종</t>
        </is>
      </c>
      <c r="J17" s="14" t="n"/>
      <c r="K17" s="14" t="n"/>
      <c r="L17" s="4" t="inlineStr">
        <is>
          <t>-</t>
        </is>
      </c>
      <c r="M17" s="15" t="n"/>
      <c r="N17" s="15" t="n"/>
      <c r="O17" s="15" t="n"/>
      <c r="P17" s="4" t="inlineStr">
        <is>
          <t>운전 변수(기준 미설정)</t>
        </is>
      </c>
      <c r="Q17" s="16" t="n"/>
      <c r="R17" s="16" t="n"/>
      <c r="S17" s="16" t="n"/>
      <c r="T17" s="4" t="inlineStr">
        <is>
          <t>-</t>
        </is>
      </c>
      <c r="U17" s="10" t="inlineStr"/>
      <c r="V17" s="4" t="inlineStr"/>
    </row>
    <row r="18">
      <c r="A18" s="4" t="n">
        <v>17</v>
      </c>
      <c r="B18" s="4" t="inlineStr">
        <is>
          <t>소성(킬른)</t>
        </is>
      </c>
      <c r="C18" s="4" t="inlineStr">
        <is>
          <t>kiln_bzt</t>
        </is>
      </c>
      <c r="D18" s="17" t="inlineStr">
        <is>
          <t>소성대 온도(파이로미터)</t>
        </is>
      </c>
      <c r="E18" s="4" t="inlineStr">
        <is>
          <t>℃</t>
        </is>
      </c>
      <c r="F18" s="4" t="inlineStr">
        <is>
          <t>1시간</t>
        </is>
      </c>
      <c r="G18" s="4" t="inlineStr">
        <is>
          <t>DCS(킬른 운전)</t>
        </is>
      </c>
      <c r="H18" s="4" t="inlineStr">
        <is>
          <t>-</t>
        </is>
      </c>
      <c r="I18" s="4" t="inlineStr">
        <is>
          <t>전 품종</t>
        </is>
      </c>
      <c r="J18" s="14" t="n"/>
      <c r="K18" s="14" t="n"/>
      <c r="L18" s="4" t="inlineStr">
        <is>
          <t>-</t>
        </is>
      </c>
      <c r="M18" s="15" t="n">
        <v>1380</v>
      </c>
      <c r="N18" s="15" t="n">
        <v>1470</v>
      </c>
      <c r="O18" s="15" t="n">
        <v>1420</v>
      </c>
      <c r="P18" s="4" t="inlineStr">
        <is>
          <t>경험칙 초기값 — 공장 기준으로 교체 필요</t>
        </is>
      </c>
      <c r="Q18" s="16" t="n"/>
      <c r="R18" s="16" t="n"/>
      <c r="S18" s="16" t="n"/>
      <c r="T18" s="4" t="inlineStr">
        <is>
          <t>R1</t>
        </is>
      </c>
      <c r="U18" s="10" t="inlineStr">
        <is>
          <t>●</t>
        </is>
      </c>
      <c r="V18" s="4" t="inlineStr">
        <is>
          <t>측정 위치·방사율 설정에 따라 절대값이 공장마다 다름</t>
        </is>
      </c>
    </row>
    <row r="19">
      <c r="A19" s="4" t="n">
        <v>18</v>
      </c>
      <c r="B19" s="4" t="inlineStr">
        <is>
          <t>소성(킬른)</t>
        </is>
      </c>
      <c r="C19" s="4" t="inlineStr">
        <is>
          <t>kiln_o2</t>
        </is>
      </c>
      <c r="D19" s="4" t="inlineStr">
        <is>
          <t>킬른 입구 O₂</t>
        </is>
      </c>
      <c r="E19" s="4" t="inlineStr">
        <is>
          <t>%</t>
        </is>
      </c>
      <c r="F19" s="4" t="inlineStr">
        <is>
          <t>1시간</t>
        </is>
      </c>
      <c r="G19" s="4" t="inlineStr">
        <is>
          <t>DCS(킬른 운전)</t>
        </is>
      </c>
      <c r="H19" s="4" t="inlineStr">
        <is>
          <t>-</t>
        </is>
      </c>
      <c r="I19" s="4" t="inlineStr">
        <is>
          <t>전 품종</t>
        </is>
      </c>
      <c r="J19" s="14" t="n"/>
      <c r="K19" s="14" t="n"/>
      <c r="L19" s="4" t="inlineStr">
        <is>
          <t>-</t>
        </is>
      </c>
      <c r="M19" s="15" t="n">
        <v>2</v>
      </c>
      <c r="N19" s="15" t="n">
        <v>4.5</v>
      </c>
      <c r="O19" s="15" t="n">
        <v>3</v>
      </c>
      <c r="P19" s="4" t="inlineStr">
        <is>
          <t>경험칙 초기값 — 공장 기준으로 교체 필요</t>
        </is>
      </c>
      <c r="Q19" s="16" t="n"/>
      <c r="R19" s="16" t="n"/>
      <c r="S19" s="16" t="n"/>
      <c r="T19" s="4" t="inlineStr">
        <is>
          <t>R1</t>
        </is>
      </c>
      <c r="U19" s="10" t="inlineStr"/>
      <c r="V19" s="4" t="inlineStr"/>
    </row>
    <row r="20">
      <c r="A20" s="4" t="n">
        <v>19</v>
      </c>
      <c r="B20" s="4" t="inlineStr">
        <is>
          <t>소성(킬른)</t>
        </is>
      </c>
      <c r="C20" s="4" t="inlineStr">
        <is>
          <t>kiln_co</t>
        </is>
      </c>
      <c r="D20" s="17" t="inlineStr">
        <is>
          <t>킬른 입구 CO</t>
        </is>
      </c>
      <c r="E20" s="4" t="inlineStr">
        <is>
          <t>%</t>
        </is>
      </c>
      <c r="F20" s="4" t="inlineStr">
        <is>
          <t>1시간</t>
        </is>
      </c>
      <c r="G20" s="4" t="inlineStr">
        <is>
          <t>DCS(킬른 운전)</t>
        </is>
      </c>
      <c r="H20" s="4" t="inlineStr">
        <is>
          <t>-</t>
        </is>
      </c>
      <c r="I20" s="4" t="inlineStr">
        <is>
          <t>전 품종</t>
        </is>
      </c>
      <c r="J20" s="14" t="n"/>
      <c r="K20" s="14" t="n"/>
      <c r="L20" s="4" t="inlineStr">
        <is>
          <t>-</t>
        </is>
      </c>
      <c r="M20" s="15" t="n"/>
      <c r="N20" s="15" t="n">
        <v>0.3</v>
      </c>
      <c r="O20" s="15" t="n">
        <v>0.05</v>
      </c>
      <c r="P20" s="4" t="inlineStr">
        <is>
          <t>경험칙 초기값 — 공장 기준으로 교체 필요</t>
        </is>
      </c>
      <c r="Q20" s="16" t="n"/>
      <c r="R20" s="16" t="n"/>
      <c r="S20" s="16" t="n"/>
      <c r="T20" s="4" t="inlineStr">
        <is>
          <t>-</t>
        </is>
      </c>
      <c r="U20" s="10" t="inlineStr">
        <is>
          <t>●</t>
        </is>
      </c>
      <c r="V20" s="4" t="inlineStr">
        <is>
          <t>환원 분위기 지표. 클링커 품질 저하·SO₃ 휘발·EP CO 트립 위험</t>
        </is>
      </c>
    </row>
    <row r="21">
      <c r="A21" s="4" t="n">
        <v>20</v>
      </c>
      <c r="B21" s="4" t="inlineStr">
        <is>
          <t>소성(킬른)</t>
        </is>
      </c>
      <c r="C21" s="4" t="inlineStr">
        <is>
          <t>kiln_torque</t>
        </is>
      </c>
      <c r="D21" s="4" t="inlineStr">
        <is>
          <t>킬른 주모터 부하</t>
        </is>
      </c>
      <c r="E21" s="4" t="inlineStr">
        <is>
          <t>%</t>
        </is>
      </c>
      <c r="F21" s="4" t="inlineStr">
        <is>
          <t>1시간</t>
        </is>
      </c>
      <c r="G21" s="4" t="inlineStr">
        <is>
          <t>DCS(킬른 운전)</t>
        </is>
      </c>
      <c r="H21" s="4" t="inlineStr">
        <is>
          <t>-</t>
        </is>
      </c>
      <c r="I21" s="4" t="inlineStr">
        <is>
          <t>전 품종</t>
        </is>
      </c>
      <c r="J21" s="14" t="n"/>
      <c r="K21" s="14" t="n"/>
      <c r="L21" s="4" t="inlineStr">
        <is>
          <t>-</t>
        </is>
      </c>
      <c r="M21" s="15" t="n"/>
      <c r="N21" s="15" t="n"/>
      <c r="O21" s="15" t="n"/>
      <c r="P21" s="4" t="inlineStr">
        <is>
          <t>운전 변수(기준 미설정)</t>
        </is>
      </c>
      <c r="Q21" s="16" t="n"/>
      <c r="R21" s="16" t="n"/>
      <c r="S21" s="16" t="n"/>
      <c r="T21" s="4" t="inlineStr">
        <is>
          <t>-</t>
        </is>
      </c>
      <c r="U21" s="10" t="inlineStr"/>
      <c r="V21" s="4" t="inlineStr">
        <is>
          <t>소성 상태·코팅 상태의 간접 지표</t>
        </is>
      </c>
    </row>
    <row r="22">
      <c r="A22" s="4" t="n">
        <v>21</v>
      </c>
      <c r="B22" s="4" t="inlineStr">
        <is>
          <t>소성(킬른)</t>
        </is>
      </c>
      <c r="C22" s="4" t="inlineStr">
        <is>
          <t>kiln_calc_temp</t>
        </is>
      </c>
      <c r="D22" s="4" t="inlineStr">
        <is>
          <t>하소로 출구 온도</t>
        </is>
      </c>
      <c r="E22" s="4" t="inlineStr">
        <is>
          <t>℃</t>
        </is>
      </c>
      <c r="F22" s="4" t="inlineStr">
        <is>
          <t>1시간</t>
        </is>
      </c>
      <c r="G22" s="4" t="inlineStr">
        <is>
          <t>DCS(킬른 운전)</t>
        </is>
      </c>
      <c r="H22" s="4" t="inlineStr">
        <is>
          <t>-</t>
        </is>
      </c>
      <c r="I22" s="4" t="inlineStr">
        <is>
          <t>전 품종</t>
        </is>
      </c>
      <c r="J22" s="14" t="n"/>
      <c r="K22" s="14" t="n"/>
      <c r="L22" s="4" t="inlineStr">
        <is>
          <t>-</t>
        </is>
      </c>
      <c r="M22" s="15" t="n">
        <v>855</v>
      </c>
      <c r="N22" s="15" t="n">
        <v>895</v>
      </c>
      <c r="O22" s="15" t="n">
        <v>875</v>
      </c>
      <c r="P22" s="4" t="inlineStr">
        <is>
          <t>경험칙 초기값 — 공장 기준으로 교체 필요</t>
        </is>
      </c>
      <c r="Q22" s="16" t="n"/>
      <c r="R22" s="16" t="n"/>
      <c r="S22" s="16" t="n"/>
      <c r="T22" s="4" t="inlineStr">
        <is>
          <t>R1</t>
        </is>
      </c>
      <c r="U22" s="10" t="inlineStr"/>
      <c r="V22" s="4" t="inlineStr"/>
    </row>
    <row r="23">
      <c r="A23" s="4" t="n">
        <v>22</v>
      </c>
      <c r="B23" s="4" t="inlineStr">
        <is>
          <t>소성(킬른)</t>
        </is>
      </c>
      <c r="C23" s="4" t="inlineStr">
        <is>
          <t>kiln_sec_air</t>
        </is>
      </c>
      <c r="D23" s="4" t="inlineStr">
        <is>
          <t>2차 공기 온도</t>
        </is>
      </c>
      <c r="E23" s="4" t="inlineStr">
        <is>
          <t>℃</t>
        </is>
      </c>
      <c r="F23" s="4" t="inlineStr">
        <is>
          <t>1시간</t>
        </is>
      </c>
      <c r="G23" s="4" t="inlineStr">
        <is>
          <t>DCS(킬른 운전)</t>
        </is>
      </c>
      <c r="H23" s="4" t="inlineStr">
        <is>
          <t>-</t>
        </is>
      </c>
      <c r="I23" s="4" t="inlineStr">
        <is>
          <t>전 품종</t>
        </is>
      </c>
      <c r="J23" s="14" t="n"/>
      <c r="K23" s="14" t="n"/>
      <c r="L23" s="4" t="inlineStr">
        <is>
          <t>-</t>
        </is>
      </c>
      <c r="M23" s="15" t="n">
        <v>950</v>
      </c>
      <c r="N23" s="15" t="n"/>
      <c r="O23" s="15" t="n">
        <v>1050</v>
      </c>
      <c r="P23" s="4" t="inlineStr">
        <is>
          <t>경험칙 초기값 — 공장 기준으로 교체 필요</t>
        </is>
      </c>
      <c r="Q23" s="16" t="n"/>
      <c r="R23" s="16" t="n"/>
      <c r="S23" s="16" t="n"/>
      <c r="T23" s="4" t="inlineStr">
        <is>
          <t>R1</t>
        </is>
      </c>
      <c r="U23" s="10" t="inlineStr"/>
      <c r="V23" s="4" t="inlineStr"/>
    </row>
    <row r="24">
      <c r="A24" s="4" t="n">
        <v>23</v>
      </c>
      <c r="B24" s="4" t="inlineStr">
        <is>
          <t>클링커</t>
        </is>
      </c>
      <c r="C24" s="4" t="inlineStr">
        <is>
          <t>clk_cao</t>
        </is>
      </c>
      <c r="D24" s="4" t="inlineStr">
        <is>
          <t>클링커 CaO</t>
        </is>
      </c>
      <c r="E24" s="4" t="inlineStr">
        <is>
          <t>%</t>
        </is>
      </c>
      <c r="F24" s="4" t="inlineStr">
        <is>
          <t>2시간</t>
        </is>
      </c>
      <c r="G24" s="4" t="inlineStr">
        <is>
          <t>XRF·f-CaO·리터중량 시험</t>
        </is>
      </c>
      <c r="H24" s="4" t="inlineStr">
        <is>
          <t>-</t>
        </is>
      </c>
      <c r="I24" s="4" t="inlineStr">
        <is>
          <t>전 품종</t>
        </is>
      </c>
      <c r="J24" s="14" t="n"/>
      <c r="K24" s="14" t="n"/>
      <c r="L24" s="4" t="inlineStr">
        <is>
          <t>-</t>
        </is>
      </c>
      <c r="M24" s="15" t="n"/>
      <c r="N24" s="15" t="n"/>
      <c r="O24" s="15" t="n"/>
      <c r="P24" s="4" t="inlineStr">
        <is>
          <t>모니터링 항목(기준 미설정)</t>
        </is>
      </c>
      <c r="Q24" s="16" t="n"/>
      <c r="R24" s="16" t="n"/>
      <c r="S24" s="16" t="n"/>
      <c r="T24" s="4" t="inlineStr">
        <is>
          <t>-</t>
        </is>
      </c>
      <c r="U24" s="10" t="inlineStr"/>
      <c r="V24" s="4" t="inlineStr"/>
    </row>
    <row r="25">
      <c r="A25" s="4" t="n">
        <v>24</v>
      </c>
      <c r="B25" s="4" t="inlineStr">
        <is>
          <t>클링커</t>
        </is>
      </c>
      <c r="C25" s="4" t="inlineStr">
        <is>
          <t>clk_sio2</t>
        </is>
      </c>
      <c r="D25" s="4" t="inlineStr">
        <is>
          <t>클링커 SiO₂</t>
        </is>
      </c>
      <c r="E25" s="4" t="inlineStr">
        <is>
          <t>%</t>
        </is>
      </c>
      <c r="F25" s="4" t="inlineStr">
        <is>
          <t>2시간</t>
        </is>
      </c>
      <c r="G25" s="4" t="inlineStr">
        <is>
          <t>XRF·f-CaO·리터중량 시험</t>
        </is>
      </c>
      <c r="H25" s="4" t="inlineStr">
        <is>
          <t>-</t>
        </is>
      </c>
      <c r="I25" s="4" t="inlineStr">
        <is>
          <t>전 품종</t>
        </is>
      </c>
      <c r="J25" s="14" t="n"/>
      <c r="K25" s="14" t="n"/>
      <c r="L25" s="4" t="inlineStr">
        <is>
          <t>-</t>
        </is>
      </c>
      <c r="M25" s="15" t="n"/>
      <c r="N25" s="15" t="n"/>
      <c r="O25" s="15" t="n"/>
      <c r="P25" s="4" t="inlineStr">
        <is>
          <t>모니터링 항목(기준 미설정)</t>
        </is>
      </c>
      <c r="Q25" s="16" t="n"/>
      <c r="R25" s="16" t="n"/>
      <c r="S25" s="16" t="n"/>
      <c r="T25" s="4" t="inlineStr">
        <is>
          <t>-</t>
        </is>
      </c>
      <c r="U25" s="10" t="inlineStr"/>
      <c r="V25" s="4" t="inlineStr"/>
    </row>
    <row r="26">
      <c r="A26" s="4" t="n">
        <v>25</v>
      </c>
      <c r="B26" s="4" t="inlineStr">
        <is>
          <t>클링커</t>
        </is>
      </c>
      <c r="C26" s="4" t="inlineStr">
        <is>
          <t>clk_al2o3</t>
        </is>
      </c>
      <c r="D26" s="4" t="inlineStr">
        <is>
          <t>클링커 Al₂O₃</t>
        </is>
      </c>
      <c r="E26" s="4" t="inlineStr">
        <is>
          <t>%</t>
        </is>
      </c>
      <c r="F26" s="4" t="inlineStr">
        <is>
          <t>2시간</t>
        </is>
      </c>
      <c r="G26" s="4" t="inlineStr">
        <is>
          <t>XRF·f-CaO·리터중량 시험</t>
        </is>
      </c>
      <c r="H26" s="4" t="inlineStr">
        <is>
          <t>-</t>
        </is>
      </c>
      <c r="I26" s="4" t="inlineStr">
        <is>
          <t>전 품종</t>
        </is>
      </c>
      <c r="J26" s="14" t="n"/>
      <c r="K26" s="14" t="n"/>
      <c r="L26" s="4" t="inlineStr">
        <is>
          <t>-</t>
        </is>
      </c>
      <c r="M26" s="15" t="n"/>
      <c r="N26" s="15" t="n"/>
      <c r="O26" s="15" t="n"/>
      <c r="P26" s="4" t="inlineStr">
        <is>
          <t>모니터링 항목(기준 미설정)</t>
        </is>
      </c>
      <c r="Q26" s="16" t="n"/>
      <c r="R26" s="16" t="n"/>
      <c r="S26" s="16" t="n"/>
      <c r="T26" s="4" t="inlineStr">
        <is>
          <t>-</t>
        </is>
      </c>
      <c r="U26" s="10" t="inlineStr"/>
      <c r="V26" s="4" t="inlineStr"/>
    </row>
    <row r="27">
      <c r="A27" s="4" t="n">
        <v>26</v>
      </c>
      <c r="B27" s="4" t="inlineStr">
        <is>
          <t>클링커</t>
        </is>
      </c>
      <c r="C27" s="4" t="inlineStr">
        <is>
          <t>clk_fe2o3</t>
        </is>
      </c>
      <c r="D27" s="4" t="inlineStr">
        <is>
          <t>클링커 Fe₂O₃</t>
        </is>
      </c>
      <c r="E27" s="4" t="inlineStr">
        <is>
          <t>%</t>
        </is>
      </c>
      <c r="F27" s="4" t="inlineStr">
        <is>
          <t>2시간</t>
        </is>
      </c>
      <c r="G27" s="4" t="inlineStr">
        <is>
          <t>XRF·f-CaO·리터중량 시험</t>
        </is>
      </c>
      <c r="H27" s="4" t="inlineStr">
        <is>
          <t>-</t>
        </is>
      </c>
      <c r="I27" s="4" t="inlineStr">
        <is>
          <t>전 품종</t>
        </is>
      </c>
      <c r="J27" s="14" t="n"/>
      <c r="K27" s="14" t="n"/>
      <c r="L27" s="4" t="inlineStr">
        <is>
          <t>-</t>
        </is>
      </c>
      <c r="M27" s="15" t="n"/>
      <c r="N27" s="15" t="n"/>
      <c r="O27" s="15" t="n"/>
      <c r="P27" s="4" t="inlineStr">
        <is>
          <t>모니터링 항목(기준 미설정)</t>
        </is>
      </c>
      <c r="Q27" s="16" t="n"/>
      <c r="R27" s="16" t="n"/>
      <c r="S27" s="16" t="n"/>
      <c r="T27" s="4" t="inlineStr">
        <is>
          <t>-</t>
        </is>
      </c>
      <c r="U27" s="10" t="inlineStr"/>
      <c r="V27" s="4" t="inlineStr"/>
    </row>
    <row r="28">
      <c r="A28" s="4" t="n">
        <v>27</v>
      </c>
      <c r="B28" s="4" t="inlineStr">
        <is>
          <t>클링커</t>
        </is>
      </c>
      <c r="C28" s="4" t="inlineStr">
        <is>
          <t>clk_so3</t>
        </is>
      </c>
      <c r="D28" s="4" t="inlineStr">
        <is>
          <t>클링커 SO₃</t>
        </is>
      </c>
      <c r="E28" s="4" t="inlineStr">
        <is>
          <t>%</t>
        </is>
      </c>
      <c r="F28" s="4" t="inlineStr">
        <is>
          <t>2시간</t>
        </is>
      </c>
      <c r="G28" s="4" t="inlineStr">
        <is>
          <t>XRF·f-CaO·리터중량 시험</t>
        </is>
      </c>
      <c r="H28" s="4" t="inlineStr">
        <is>
          <t>-</t>
        </is>
      </c>
      <c r="I28" s="4" t="inlineStr">
        <is>
          <t>전 품종</t>
        </is>
      </c>
      <c r="J28" s="14" t="n"/>
      <c r="K28" s="14" t="n"/>
      <c r="L28" s="4" t="inlineStr">
        <is>
          <t>-</t>
        </is>
      </c>
      <c r="M28" s="15" t="n"/>
      <c r="N28" s="15" t="n"/>
      <c r="O28" s="15" t="n"/>
      <c r="P28" s="4" t="inlineStr">
        <is>
          <t>모니터링 항목(기준 미설정)</t>
        </is>
      </c>
      <c r="Q28" s="16" t="n"/>
      <c r="R28" s="16" t="n"/>
      <c r="S28" s="16" t="n"/>
      <c r="T28" s="4" t="inlineStr">
        <is>
          <t>-</t>
        </is>
      </c>
      <c r="U28" s="10" t="inlineStr"/>
      <c r="V28" s="4" t="inlineStr"/>
    </row>
    <row r="29">
      <c r="A29" s="4" t="n">
        <v>28</v>
      </c>
      <c r="B29" s="4" t="inlineStr">
        <is>
          <t>클링커</t>
        </is>
      </c>
      <c r="C29" s="4" t="inlineStr">
        <is>
          <t>clk_k2o</t>
        </is>
      </c>
      <c r="D29" s="4" t="inlineStr">
        <is>
          <t>클링커 K₂O</t>
        </is>
      </c>
      <c r="E29" s="4" t="inlineStr">
        <is>
          <t>%</t>
        </is>
      </c>
      <c r="F29" s="4" t="inlineStr">
        <is>
          <t>2시간</t>
        </is>
      </c>
      <c r="G29" s="4" t="inlineStr">
        <is>
          <t>XRF·f-CaO·리터중량 시험</t>
        </is>
      </c>
      <c r="H29" s="4" t="inlineStr">
        <is>
          <t>-</t>
        </is>
      </c>
      <c r="I29" s="4" t="inlineStr">
        <is>
          <t>전 품종</t>
        </is>
      </c>
      <c r="J29" s="14" t="n"/>
      <c r="K29" s="14" t="n"/>
      <c r="L29" s="4" t="inlineStr">
        <is>
          <t>-</t>
        </is>
      </c>
      <c r="M29" s="15" t="n"/>
      <c r="N29" s="15" t="n"/>
      <c r="O29" s="15" t="n"/>
      <c r="P29" s="4" t="inlineStr">
        <is>
          <t>모니터링 항목(기준 미설정)</t>
        </is>
      </c>
      <c r="Q29" s="16" t="n"/>
      <c r="R29" s="16" t="n"/>
      <c r="S29" s="16" t="n"/>
      <c r="T29" s="4" t="inlineStr">
        <is>
          <t>-</t>
        </is>
      </c>
      <c r="U29" s="10" t="inlineStr"/>
      <c r="V29" s="4" t="inlineStr"/>
    </row>
    <row r="30">
      <c r="A30" s="4" t="n">
        <v>29</v>
      </c>
      <c r="B30" s="4" t="inlineStr">
        <is>
          <t>클링커</t>
        </is>
      </c>
      <c r="C30" s="4" t="inlineStr">
        <is>
          <t>clk_na2o</t>
        </is>
      </c>
      <c r="D30" s="4" t="inlineStr">
        <is>
          <t>클링커 Na₂O</t>
        </is>
      </c>
      <c r="E30" s="4" t="inlineStr">
        <is>
          <t>%</t>
        </is>
      </c>
      <c r="F30" s="4" t="inlineStr">
        <is>
          <t>2시간</t>
        </is>
      </c>
      <c r="G30" s="4" t="inlineStr">
        <is>
          <t>XRF·f-CaO·리터중량 시험</t>
        </is>
      </c>
      <c r="H30" s="4" t="inlineStr">
        <is>
          <t>-</t>
        </is>
      </c>
      <c r="I30" s="4" t="inlineStr">
        <is>
          <t>전 품종</t>
        </is>
      </c>
      <c r="J30" s="14" t="n"/>
      <c r="K30" s="14" t="n"/>
      <c r="L30" s="4" t="inlineStr">
        <is>
          <t>-</t>
        </is>
      </c>
      <c r="M30" s="15" t="n"/>
      <c r="N30" s="15" t="n"/>
      <c r="O30" s="15" t="n"/>
      <c r="P30" s="4" t="inlineStr">
        <is>
          <t>모니터링 항목(기준 미설정)</t>
        </is>
      </c>
      <c r="Q30" s="16" t="n"/>
      <c r="R30" s="16" t="n"/>
      <c r="S30" s="16" t="n"/>
      <c r="T30" s="4" t="inlineStr">
        <is>
          <t>-</t>
        </is>
      </c>
      <c r="U30" s="10" t="inlineStr"/>
      <c r="V30" s="4" t="inlineStr"/>
    </row>
    <row r="31">
      <c r="A31" s="4" t="n">
        <v>30</v>
      </c>
      <c r="B31" s="4" t="inlineStr">
        <is>
          <t>클링커</t>
        </is>
      </c>
      <c r="C31" s="4" t="inlineStr">
        <is>
          <t>clk_c2s</t>
        </is>
      </c>
      <c r="D31" s="4" t="inlineStr">
        <is>
          <t>클링커 C₂S</t>
        </is>
      </c>
      <c r="E31" s="4" t="inlineStr">
        <is>
          <t>%</t>
        </is>
      </c>
      <c r="F31" s="4" t="inlineStr">
        <is>
          <t>2시간</t>
        </is>
      </c>
      <c r="G31" s="4" t="inlineStr">
        <is>
          <t>XRF·f-CaO·리터중량 시험</t>
        </is>
      </c>
      <c r="H31" s="4" t="inlineStr">
        <is>
          <t>-</t>
        </is>
      </c>
      <c r="I31" s="4" t="inlineStr">
        <is>
          <t>전 품종</t>
        </is>
      </c>
      <c r="J31" s="14" t="n"/>
      <c r="K31" s="14" t="n"/>
      <c r="L31" s="4" t="inlineStr">
        <is>
          <t>-</t>
        </is>
      </c>
      <c r="M31" s="15" t="n"/>
      <c r="N31" s="15" t="n"/>
      <c r="O31" s="15" t="n"/>
      <c r="P31" s="4" t="inlineStr">
        <is>
          <t>모니터링 항목(기준 미설정)</t>
        </is>
      </c>
      <c r="Q31" s="16" t="n"/>
      <c r="R31" s="16" t="n"/>
      <c r="S31" s="16" t="n"/>
      <c r="T31" s="4" t="inlineStr">
        <is>
          <t>-</t>
        </is>
      </c>
      <c r="U31" s="10" t="inlineStr"/>
      <c r="V31" s="4" t="inlineStr"/>
    </row>
    <row r="32">
      <c r="A32" s="4" t="n">
        <v>31</v>
      </c>
      <c r="B32" s="4" t="inlineStr">
        <is>
          <t>클링커</t>
        </is>
      </c>
      <c r="C32" s="4" t="inlineStr">
        <is>
          <t>clk_c4af</t>
        </is>
      </c>
      <c r="D32" s="4" t="inlineStr">
        <is>
          <t>클링커 C₄AF</t>
        </is>
      </c>
      <c r="E32" s="4" t="inlineStr">
        <is>
          <t>%</t>
        </is>
      </c>
      <c r="F32" s="4" t="inlineStr">
        <is>
          <t>2시간</t>
        </is>
      </c>
      <c r="G32" s="4" t="inlineStr">
        <is>
          <t>XRF·f-CaO·리터중량 시험</t>
        </is>
      </c>
      <c r="H32" s="4" t="inlineStr">
        <is>
          <t>-</t>
        </is>
      </c>
      <c r="I32" s="4" t="inlineStr">
        <is>
          <t>전 품종</t>
        </is>
      </c>
      <c r="J32" s="14" t="n"/>
      <c r="K32" s="14" t="n"/>
      <c r="L32" s="4" t="inlineStr">
        <is>
          <t>-</t>
        </is>
      </c>
      <c r="M32" s="15" t="n"/>
      <c r="N32" s="15" t="n"/>
      <c r="O32" s="15" t="n"/>
      <c r="P32" s="4" t="inlineStr">
        <is>
          <t>모니터링 항목(기준 미설정)</t>
        </is>
      </c>
      <c r="Q32" s="16" t="n"/>
      <c r="R32" s="16" t="n"/>
      <c r="S32" s="16" t="n"/>
      <c r="T32" s="4" t="inlineStr">
        <is>
          <t>-</t>
        </is>
      </c>
      <c r="U32" s="10" t="inlineStr"/>
      <c r="V32" s="4" t="inlineStr"/>
    </row>
    <row r="33">
      <c r="A33" s="4" t="n">
        <v>32</v>
      </c>
      <c r="B33" s="4" t="inlineStr">
        <is>
          <t>클링커</t>
        </is>
      </c>
      <c r="C33" s="4" t="inlineStr">
        <is>
          <t>clk_mgo</t>
        </is>
      </c>
      <c r="D33" s="4" t="inlineStr">
        <is>
          <t>클링커 MgO</t>
        </is>
      </c>
      <c r="E33" s="4" t="inlineStr">
        <is>
          <t>%</t>
        </is>
      </c>
      <c r="F33" s="4" t="inlineStr">
        <is>
          <t>2시간</t>
        </is>
      </c>
      <c r="G33" s="4" t="inlineStr">
        <is>
          <t>XRF·f-CaO·리터중량 시험</t>
        </is>
      </c>
      <c r="H33" s="4" t="inlineStr">
        <is>
          <t>-</t>
        </is>
      </c>
      <c r="I33" s="4" t="inlineStr">
        <is>
          <t>전 품종</t>
        </is>
      </c>
      <c r="J33" s="14" t="n"/>
      <c r="K33" s="14" t="n"/>
      <c r="L33" s="4" t="inlineStr">
        <is>
          <t>-</t>
        </is>
      </c>
      <c r="M33" s="15" t="n"/>
      <c r="N33" s="15" t="n">
        <v>4.5</v>
      </c>
      <c r="O33" s="15" t="n"/>
      <c r="P33" s="4" t="inlineStr">
        <is>
          <t>경험칙 초기값 — 공장 기준으로 교체 필요</t>
        </is>
      </c>
      <c r="Q33" s="16" t="n"/>
      <c r="R33" s="16" t="n"/>
      <c r="S33" s="16" t="n"/>
      <c r="T33" s="4" t="inlineStr">
        <is>
          <t>R1</t>
        </is>
      </c>
      <c r="U33" s="10" t="inlineStr"/>
      <c r="V33" s="4" t="inlineStr">
        <is>
          <t>KS 시멘트 MgO 5.0% 이하 대응. 페리클레이스 → 안정도 불량</t>
        </is>
      </c>
    </row>
    <row r="34">
      <c r="A34" s="4" t="n">
        <v>33</v>
      </c>
      <c r="B34" s="4" t="inlineStr">
        <is>
          <t>클링커</t>
        </is>
      </c>
      <c r="C34" s="4" t="inlineStr">
        <is>
          <t>clk_fcao</t>
        </is>
      </c>
      <c r="D34" s="17" t="inlineStr">
        <is>
          <t>클링커 자유석회(f-CaO)</t>
        </is>
      </c>
      <c r="E34" s="4" t="inlineStr">
        <is>
          <t>%</t>
        </is>
      </c>
      <c r="F34" s="4" t="inlineStr">
        <is>
          <t>2시간</t>
        </is>
      </c>
      <c r="G34" s="4" t="inlineStr">
        <is>
          <t>XRF·f-CaO·리터중량 시험</t>
        </is>
      </c>
      <c r="H34" s="4" t="inlineStr">
        <is>
          <t>-</t>
        </is>
      </c>
      <c r="I34" s="4" t="inlineStr">
        <is>
          <t>전 품종</t>
        </is>
      </c>
      <c r="J34" s="14" t="n"/>
      <c r="K34" s="14" t="n"/>
      <c r="L34" s="4" t="inlineStr">
        <is>
          <t>-</t>
        </is>
      </c>
      <c r="M34" s="15" t="n">
        <v>0.4</v>
      </c>
      <c r="N34" s="15" t="n">
        <v>1.8</v>
      </c>
      <c r="O34" s="15" t="n">
        <v>1</v>
      </c>
      <c r="P34" s="4" t="inlineStr">
        <is>
          <t>경험칙 초기값 — 공장 기준으로 교체 필요</t>
        </is>
      </c>
      <c r="Q34" s="16" t="n"/>
      <c r="R34" s="16" t="n"/>
      <c r="S34" s="16" t="n"/>
      <c r="T34" s="4" t="inlineStr">
        <is>
          <t>R1, R2, R3, R5, R6</t>
        </is>
      </c>
      <c r="U34" s="10" t="inlineStr">
        <is>
          <t>●</t>
        </is>
      </c>
      <c r="V34" s="4" t="inlineStr">
        <is>
          <t>소성 상태의 핵심 지표. 과고=소성 부족/LSF 과다, 과저=과소성(연료 낭비)</t>
        </is>
      </c>
    </row>
    <row r="35">
      <c r="A35" s="4" t="n">
        <v>34</v>
      </c>
      <c r="B35" s="4" t="inlineStr">
        <is>
          <t>클링커</t>
        </is>
      </c>
      <c r="C35" s="4" t="inlineStr">
        <is>
          <t>clk_lw</t>
        </is>
      </c>
      <c r="D35" s="4" t="inlineStr">
        <is>
          <t>클링커 리터중량</t>
        </is>
      </c>
      <c r="E35" s="4" t="inlineStr">
        <is>
          <t>g/L</t>
        </is>
      </c>
      <c r="F35" s="4" t="inlineStr">
        <is>
          <t>2시간</t>
        </is>
      </c>
      <c r="G35" s="4" t="inlineStr">
        <is>
          <t>XRF·f-CaO·리터중량 시험</t>
        </is>
      </c>
      <c r="H35" s="4" t="inlineStr">
        <is>
          <t>-</t>
        </is>
      </c>
      <c r="I35" s="4" t="inlineStr">
        <is>
          <t>전 품종</t>
        </is>
      </c>
      <c r="J35" s="14" t="n"/>
      <c r="K35" s="14" t="n"/>
      <c r="L35" s="4" t="inlineStr">
        <is>
          <t>-</t>
        </is>
      </c>
      <c r="M35" s="15" t="n">
        <v>1200</v>
      </c>
      <c r="N35" s="15" t="n">
        <v>1400</v>
      </c>
      <c r="O35" s="15" t="n">
        <v>1300</v>
      </c>
      <c r="P35" s="4" t="inlineStr">
        <is>
          <t>경험칙 초기값 — 공장 기준으로 교체 필요</t>
        </is>
      </c>
      <c r="Q35" s="16" t="n"/>
      <c r="R35" s="16" t="n"/>
      <c r="S35" s="16" t="n"/>
      <c r="T35" s="4" t="inlineStr">
        <is>
          <t>R1</t>
        </is>
      </c>
      <c r="U35" s="10" t="inlineStr"/>
      <c r="V35" s="4" t="inlineStr">
        <is>
          <t>소성도 지표(측정 입도·방법에 따라 절대값 상이)</t>
        </is>
      </c>
    </row>
    <row r="36">
      <c r="A36" s="4" t="n">
        <v>35</v>
      </c>
      <c r="B36" s="4" t="inlineStr">
        <is>
          <t>클링커</t>
        </is>
      </c>
      <c r="C36" s="4" t="inlineStr">
        <is>
          <t>clk_cl</t>
        </is>
      </c>
      <c r="D36" s="4" t="inlineStr">
        <is>
          <t>클링커 Cl</t>
        </is>
      </c>
      <c r="E36" s="4" t="inlineStr">
        <is>
          <t>ppm</t>
        </is>
      </c>
      <c r="F36" s="4" t="inlineStr">
        <is>
          <t>2시간</t>
        </is>
      </c>
      <c r="G36" s="4" t="inlineStr">
        <is>
          <t>XRF·f-CaO·리터중량 시험</t>
        </is>
      </c>
      <c r="H36" s="4" t="inlineStr">
        <is>
          <t>-</t>
        </is>
      </c>
      <c r="I36" s="4" t="inlineStr">
        <is>
          <t>전 품종</t>
        </is>
      </c>
      <c r="J36" s="14" t="n"/>
      <c r="K36" s="14" t="n"/>
      <c r="L36" s="4" t="inlineStr">
        <is>
          <t>-</t>
        </is>
      </c>
      <c r="M36" s="15" t="n"/>
      <c r="N36" s="15" t="n"/>
      <c r="O36" s="15" t="n"/>
      <c r="P36" s="4" t="inlineStr">
        <is>
          <t>모니터링 항목(기준 미설정)</t>
        </is>
      </c>
      <c r="Q36" s="16" t="n"/>
      <c r="R36" s="16" t="n"/>
      <c r="S36" s="16" t="n"/>
      <c r="T36" s="4" t="inlineStr">
        <is>
          <t>-</t>
        </is>
      </c>
      <c r="U36" s="10" t="inlineStr"/>
      <c r="V36" s="4" t="inlineStr">
        <is>
          <t>염소 — 바이패스·킬른 내 순환(코팅·링 형성) 지표</t>
        </is>
      </c>
    </row>
    <row r="37">
      <c r="A37" s="4" t="n">
        <v>36</v>
      </c>
      <c r="B37" s="4" t="inlineStr">
        <is>
          <t>클링커</t>
        </is>
      </c>
      <c r="C37" s="4" t="inlineStr">
        <is>
          <t>clk_f</t>
        </is>
      </c>
      <c r="D37" s="4" t="inlineStr">
        <is>
          <t>클링커 F</t>
        </is>
      </c>
      <c r="E37" s="4" t="inlineStr">
        <is>
          <t>ppm</t>
        </is>
      </c>
      <c r="F37" s="4" t="inlineStr">
        <is>
          <t>2시간</t>
        </is>
      </c>
      <c r="G37" s="4" t="inlineStr">
        <is>
          <t>XRF·f-CaO·리터중량 시험</t>
        </is>
      </c>
      <c r="H37" s="4" t="inlineStr">
        <is>
          <t>-</t>
        </is>
      </c>
      <c r="I37" s="4" t="inlineStr">
        <is>
          <t>전 품종</t>
        </is>
      </c>
      <c r="J37" s="14" t="n"/>
      <c r="K37" s="14" t="n"/>
      <c r="L37" s="4" t="inlineStr">
        <is>
          <t>-</t>
        </is>
      </c>
      <c r="M37" s="15" t="n"/>
      <c r="N37" s="15" t="n"/>
      <c r="O37" s="15" t="n"/>
      <c r="P37" s="4" t="inlineStr">
        <is>
          <t>모니터링 항목(기준 미설정)</t>
        </is>
      </c>
      <c r="Q37" s="16" t="n"/>
      <c r="R37" s="16" t="n"/>
      <c r="S37" s="16" t="n"/>
      <c r="T37" s="4" t="inlineStr">
        <is>
          <t>-</t>
        </is>
      </c>
      <c r="U37" s="10" t="inlineStr"/>
      <c r="V37" s="4" t="inlineStr">
        <is>
          <t>불소 — 광화제. 과다 시 응결·초기강도 영향</t>
        </is>
      </c>
    </row>
    <row r="38">
      <c r="A38" s="4" t="n">
        <v>37</v>
      </c>
      <c r="B38" s="4" t="inlineStr">
        <is>
          <t>클링커</t>
        </is>
      </c>
      <c r="C38" s="4" t="inlineStr">
        <is>
          <t>clk_temp</t>
        </is>
      </c>
      <c r="D38" s="4" t="inlineStr">
        <is>
          <t>클링커 온도</t>
        </is>
      </c>
      <c r="E38" s="4" t="inlineStr">
        <is>
          <t>℃</t>
        </is>
      </c>
      <c r="F38" s="4" t="inlineStr">
        <is>
          <t>2시간</t>
        </is>
      </c>
      <c r="G38" s="4" t="inlineStr">
        <is>
          <t>XRF·f-CaO·리터중량 시험</t>
        </is>
      </c>
      <c r="H38" s="4" t="inlineStr">
        <is>
          <t>-</t>
        </is>
      </c>
      <c r="I38" s="4" t="inlineStr">
        <is>
          <t>전 품종</t>
        </is>
      </c>
      <c r="J38" s="14" t="n"/>
      <c r="K38" s="14" t="n"/>
      <c r="L38" s="4" t="inlineStr">
        <is>
          <t>-</t>
        </is>
      </c>
      <c r="M38" s="15" t="n"/>
      <c r="N38" s="15" t="n"/>
      <c r="O38" s="15" t="n"/>
      <c r="P38" s="4" t="inlineStr">
        <is>
          <t>모니터링 항목(기준 미설정)</t>
        </is>
      </c>
      <c r="Q38" s="16" t="n"/>
      <c r="R38" s="16" t="n"/>
      <c r="S38" s="16" t="n"/>
      <c r="T38" s="4" t="inlineStr">
        <is>
          <t>-</t>
        </is>
      </c>
      <c r="U38" s="10" t="inlineStr"/>
      <c r="V38" s="4" t="inlineStr">
        <is>
          <t>냉각기 출구 클링커 온도(냉각 상태 지표)</t>
        </is>
      </c>
    </row>
    <row r="39">
      <c r="A39" s="4" t="n">
        <v>38</v>
      </c>
      <c r="B39" s="4" t="inlineStr">
        <is>
          <t>클링커</t>
        </is>
      </c>
      <c r="C39" s="4" t="inlineStr">
        <is>
          <t>clk_lsf</t>
        </is>
      </c>
      <c r="D39" s="17" t="inlineStr">
        <is>
          <t>클링커 LSF</t>
        </is>
      </c>
      <c r="E39" s="4" t="inlineStr"/>
      <c r="F39" s="4" t="inlineStr">
        <is>
          <t>2시간</t>
        </is>
      </c>
      <c r="G39" s="4" t="inlineStr">
        <is>
          <t>XRF·f-CaO·리터중량 시험</t>
        </is>
      </c>
      <c r="H39" s="4" t="inlineStr">
        <is>
          <t>-</t>
        </is>
      </c>
      <c r="I39" s="4" t="inlineStr">
        <is>
          <t>전 품종</t>
        </is>
      </c>
      <c r="J39" s="14" t="n"/>
      <c r="K39" s="14" t="n"/>
      <c r="L39" s="4" t="inlineStr">
        <is>
          <t>-</t>
        </is>
      </c>
      <c r="M39" s="15" t="n">
        <v>93</v>
      </c>
      <c r="N39" s="15" t="n">
        <v>97.5</v>
      </c>
      <c r="O39" s="15" t="n">
        <v>95</v>
      </c>
      <c r="P39" s="4" t="inlineStr">
        <is>
          <t>경험칙 초기값 — 공장 기준으로 교체 필요</t>
        </is>
      </c>
      <c r="Q39" s="16" t="n"/>
      <c r="R39" s="16" t="n"/>
      <c r="S39" s="16" t="n"/>
      <c r="T39" s="4" t="inlineStr">
        <is>
          <t>R1, R2, R3, R5, R6</t>
        </is>
      </c>
      <c r="U39" s="10" t="inlineStr">
        <is>
          <t>●</t>
        </is>
      </c>
      <c r="V39" s="4" t="inlineStr"/>
    </row>
    <row r="40">
      <c r="A40" s="4" t="n">
        <v>39</v>
      </c>
      <c r="B40" s="4" t="inlineStr">
        <is>
          <t>클링커</t>
        </is>
      </c>
      <c r="C40" s="4" t="inlineStr">
        <is>
          <t>clk_sm</t>
        </is>
      </c>
      <c r="D40" s="4" t="inlineStr">
        <is>
          <t>클링커 SM</t>
        </is>
      </c>
      <c r="E40" s="4" t="inlineStr"/>
      <c r="F40" s="4" t="inlineStr">
        <is>
          <t>2시간</t>
        </is>
      </c>
      <c r="G40" s="4" t="inlineStr">
        <is>
          <t>XRF·f-CaO·리터중량 시험</t>
        </is>
      </c>
      <c r="H40" s="4" t="inlineStr">
        <is>
          <t>-</t>
        </is>
      </c>
      <c r="I40" s="4" t="inlineStr">
        <is>
          <t>전 품종</t>
        </is>
      </c>
      <c r="J40" s="14" t="n"/>
      <c r="K40" s="14" t="n"/>
      <c r="L40" s="4" t="inlineStr">
        <is>
          <t>-</t>
        </is>
      </c>
      <c r="M40" s="15" t="n">
        <v>2.3</v>
      </c>
      <c r="N40" s="15" t="n">
        <v>2.7</v>
      </c>
      <c r="O40" s="15" t="n">
        <v>2.5</v>
      </c>
      <c r="P40" s="4" t="inlineStr">
        <is>
          <t>경험칙 초기값 — 공장 기준으로 교체 필요</t>
        </is>
      </c>
      <c r="Q40" s="16" t="n"/>
      <c r="R40" s="16" t="n"/>
      <c r="S40" s="16" t="n"/>
      <c r="T40" s="4" t="inlineStr">
        <is>
          <t>R1, R2, R3, R5, R6</t>
        </is>
      </c>
      <c r="U40" s="10" t="inlineStr"/>
      <c r="V40" s="4" t="inlineStr"/>
    </row>
    <row r="41">
      <c r="A41" s="4" t="n">
        <v>40</v>
      </c>
      <c r="B41" s="4" t="inlineStr">
        <is>
          <t>클링커</t>
        </is>
      </c>
      <c r="C41" s="4" t="inlineStr">
        <is>
          <t>clk_im</t>
        </is>
      </c>
      <c r="D41" s="4" t="inlineStr">
        <is>
          <t>클링커 IM</t>
        </is>
      </c>
      <c r="E41" s="4" t="inlineStr"/>
      <c r="F41" s="4" t="inlineStr">
        <is>
          <t>2시간</t>
        </is>
      </c>
      <c r="G41" s="4" t="inlineStr">
        <is>
          <t>XRF·f-CaO·리터중량 시험</t>
        </is>
      </c>
      <c r="H41" s="4" t="inlineStr">
        <is>
          <t>-</t>
        </is>
      </c>
      <c r="I41" s="4" t="inlineStr">
        <is>
          <t>전 품종</t>
        </is>
      </c>
      <c r="J41" s="14" t="n"/>
      <c r="K41" s="14" t="n"/>
      <c r="L41" s="4" t="inlineStr">
        <is>
          <t>-</t>
        </is>
      </c>
      <c r="M41" s="15" t="n">
        <v>1.4</v>
      </c>
      <c r="N41" s="15" t="n">
        <v>1.8</v>
      </c>
      <c r="O41" s="15" t="n">
        <v>1.6</v>
      </c>
      <c r="P41" s="4" t="inlineStr">
        <is>
          <t>경험칙 초기값 — 공장 기준으로 교체 필요</t>
        </is>
      </c>
      <c r="Q41" s="16" t="n"/>
      <c r="R41" s="16" t="n"/>
      <c r="S41" s="16" t="n"/>
      <c r="T41" s="4" t="inlineStr">
        <is>
          <t>R1, R2, R3, R5, R6</t>
        </is>
      </c>
      <c r="U41" s="10" t="inlineStr"/>
      <c r="V41" s="4" t="inlineStr"/>
    </row>
    <row r="42">
      <c r="A42" s="4" t="n">
        <v>41</v>
      </c>
      <c r="B42" s="4" t="inlineStr">
        <is>
          <t>클링커</t>
        </is>
      </c>
      <c r="C42" s="4" t="inlineStr">
        <is>
          <t>clk_c3s</t>
        </is>
      </c>
      <c r="D42" s="17" t="inlineStr">
        <is>
          <t>클링커 C₃S(Bogue)</t>
        </is>
      </c>
      <c r="E42" s="4" t="inlineStr">
        <is>
          <t>%</t>
        </is>
      </c>
      <c r="F42" s="4" t="inlineStr">
        <is>
          <t>2시간</t>
        </is>
      </c>
      <c r="G42" s="4" t="inlineStr">
        <is>
          <t>XRF·f-CaO·리터중량 시험</t>
        </is>
      </c>
      <c r="H42" s="4" t="inlineStr">
        <is>
          <t>-</t>
        </is>
      </c>
      <c r="I42" s="4" t="inlineStr">
        <is>
          <t>전 품종</t>
        </is>
      </c>
      <c r="J42" s="14" t="n"/>
      <c r="K42" s="14" t="n"/>
      <c r="L42" s="4" t="inlineStr">
        <is>
          <t>-</t>
        </is>
      </c>
      <c r="M42" s="15" t="n">
        <v>53</v>
      </c>
      <c r="N42" s="15" t="n">
        <v>63</v>
      </c>
      <c r="O42" s="15" t="n">
        <v>57.5</v>
      </c>
      <c r="P42" s="4" t="inlineStr">
        <is>
          <t>경험칙 초기값 — 공장 기준으로 교체 필요</t>
        </is>
      </c>
      <c r="Q42" s="16" t="n"/>
      <c r="R42" s="16" t="n"/>
      <c r="S42" s="16" t="n"/>
      <c r="T42" s="4" t="inlineStr">
        <is>
          <t>R1, R2, R3, R5, R6</t>
        </is>
      </c>
      <c r="U42" s="10" t="inlineStr">
        <is>
          <t>●</t>
        </is>
      </c>
      <c r="V42" s="4" t="inlineStr">
        <is>
          <t>28일 강도의 주 기여 광물. Bogue 계산값은 XRD 실측과 차이가 있음</t>
        </is>
      </c>
    </row>
    <row r="43">
      <c r="A43" s="4" t="n">
        <v>42</v>
      </c>
      <c r="B43" s="4" t="inlineStr">
        <is>
          <t>클링커</t>
        </is>
      </c>
      <c r="C43" s="4" t="inlineStr">
        <is>
          <t>clk_c3a</t>
        </is>
      </c>
      <c r="D43" s="4" t="inlineStr">
        <is>
          <t>클링커 C₃A(Bogue)</t>
        </is>
      </c>
      <c r="E43" s="4" t="inlineStr">
        <is>
          <t>%</t>
        </is>
      </c>
      <c r="F43" s="4" t="inlineStr">
        <is>
          <t>2시간</t>
        </is>
      </c>
      <c r="G43" s="4" t="inlineStr">
        <is>
          <t>XRF·f-CaO·리터중량 시험</t>
        </is>
      </c>
      <c r="H43" s="4" t="inlineStr">
        <is>
          <t>-</t>
        </is>
      </c>
      <c r="I43" s="4" t="inlineStr">
        <is>
          <t>전 품종</t>
        </is>
      </c>
      <c r="J43" s="14" t="n"/>
      <c r="K43" s="14" t="n"/>
      <c r="L43" s="4" t="inlineStr">
        <is>
          <t>-</t>
        </is>
      </c>
      <c r="M43" s="15" t="n"/>
      <c r="N43" s="15" t="n">
        <v>10.5</v>
      </c>
      <c r="O43" s="15" t="n"/>
      <c r="P43" s="4" t="inlineStr">
        <is>
          <t>경험칙 초기값 — 공장 기준으로 교체 필요</t>
        </is>
      </c>
      <c r="Q43" s="16" t="n"/>
      <c r="R43" s="16" t="n"/>
      <c r="S43" s="16" t="n"/>
      <c r="T43" s="4" t="inlineStr">
        <is>
          <t>R1</t>
        </is>
      </c>
      <c r="U43" s="10" t="inlineStr"/>
      <c r="V43" s="4" t="inlineStr">
        <is>
          <t>초기 수화·응결·황산염 저항성에 영향</t>
        </is>
      </c>
    </row>
    <row r="44">
      <c r="A44" s="4" t="n">
        <v>43</v>
      </c>
      <c r="B44" s="4" t="inlineStr">
        <is>
          <t>클링커</t>
        </is>
      </c>
      <c r="C44" s="4" t="inlineStr">
        <is>
          <t>clk_liquid</t>
        </is>
      </c>
      <c r="D44" s="4" t="inlineStr">
        <is>
          <t>액상량(1450℃)</t>
        </is>
      </c>
      <c r="E44" s="4" t="inlineStr">
        <is>
          <t>%</t>
        </is>
      </c>
      <c r="F44" s="4" t="inlineStr">
        <is>
          <t>2시간</t>
        </is>
      </c>
      <c r="G44" s="4" t="inlineStr">
        <is>
          <t>XRF·f-CaO·리터중량 시험</t>
        </is>
      </c>
      <c r="H44" s="4" t="inlineStr">
        <is>
          <t>-</t>
        </is>
      </c>
      <c r="I44" s="4" t="inlineStr">
        <is>
          <t>전 품종</t>
        </is>
      </c>
      <c r="J44" s="14" t="n"/>
      <c r="K44" s="14" t="n"/>
      <c r="L44" s="4" t="inlineStr">
        <is>
          <t>-</t>
        </is>
      </c>
      <c r="M44" s="15" t="n">
        <v>24</v>
      </c>
      <c r="N44" s="15" t="n">
        <v>29</v>
      </c>
      <c r="O44" s="15" t="n">
        <v>26.5</v>
      </c>
      <c r="P44" s="4" t="inlineStr">
        <is>
          <t>경험칙 초기값 — 공장 기준으로 교체 필요</t>
        </is>
      </c>
      <c r="Q44" s="16" t="n"/>
      <c r="R44" s="16" t="n"/>
      <c r="S44" s="16" t="n"/>
      <c r="T44" s="4" t="inlineStr">
        <is>
          <t>R1</t>
        </is>
      </c>
      <c r="U44" s="10" t="inlineStr"/>
      <c r="V44" s="4" t="inlineStr"/>
    </row>
    <row r="45">
      <c r="A45" s="4" t="n">
        <v>44</v>
      </c>
      <c r="B45" s="4" t="inlineStr">
        <is>
          <t>클링커</t>
        </is>
      </c>
      <c r="C45" s="4" t="inlineStr">
        <is>
          <t>clk_na2oeq</t>
        </is>
      </c>
      <c r="D45" s="4" t="inlineStr">
        <is>
          <t>클링커 등가알칼리</t>
        </is>
      </c>
      <c r="E45" s="4" t="inlineStr">
        <is>
          <t>%</t>
        </is>
      </c>
      <c r="F45" s="4" t="inlineStr">
        <is>
          <t>2시간</t>
        </is>
      </c>
      <c r="G45" s="4" t="inlineStr">
        <is>
          <t>XRF·f-CaO·리터중량 시험</t>
        </is>
      </c>
      <c r="H45" s="4" t="inlineStr">
        <is>
          <t>-</t>
        </is>
      </c>
      <c r="I45" s="4" t="inlineStr">
        <is>
          <t>전 품종</t>
        </is>
      </c>
      <c r="J45" s="14" t="n"/>
      <c r="K45" s="14" t="n"/>
      <c r="L45" s="4" t="inlineStr">
        <is>
          <t>-</t>
        </is>
      </c>
      <c r="M45" s="15" t="n"/>
      <c r="N45" s="15" t="n">
        <v>0.9</v>
      </c>
      <c r="O45" s="15" t="n"/>
      <c r="P45" s="4" t="inlineStr">
        <is>
          <t>경험칙 초기값 — 공장 기준으로 교체 필요</t>
        </is>
      </c>
      <c r="Q45" s="16" t="n"/>
      <c r="R45" s="16" t="n"/>
      <c r="S45" s="16" t="n"/>
      <c r="T45" s="4" t="inlineStr">
        <is>
          <t>R1</t>
        </is>
      </c>
      <c r="U45" s="10" t="inlineStr"/>
      <c r="V45" s="4" t="inlineStr"/>
    </row>
    <row r="46">
      <c r="A46" s="4" t="n">
        <v>45</v>
      </c>
      <c r="B46" s="4" t="inlineStr">
        <is>
          <t>클링커</t>
        </is>
      </c>
      <c r="C46" s="4" t="inlineStr">
        <is>
          <t>xrd_alite</t>
        </is>
      </c>
      <c r="D46" s="4" t="inlineStr">
        <is>
          <t>XRD 알라이트(C₃S)</t>
        </is>
      </c>
      <c r="E46" s="4" t="inlineStr">
        <is>
          <t>%</t>
        </is>
      </c>
      <c r="F46" s="4" t="inlineStr">
        <is>
          <t>1일</t>
        </is>
      </c>
      <c r="G46" s="4" t="inlineStr">
        <is>
          <t>클링커 일일 시료(XRD·크롬, LIMS)</t>
        </is>
      </c>
      <c r="H46" s="4" t="inlineStr">
        <is>
          <t>XRD-Rietveld 정량</t>
        </is>
      </c>
      <c r="I46" s="4" t="inlineStr">
        <is>
          <t>전 품종</t>
        </is>
      </c>
      <c r="J46" s="14" t="n"/>
      <c r="K46" s="14" t="n"/>
      <c r="L46" s="4" t="inlineStr">
        <is>
          <t>-</t>
        </is>
      </c>
      <c r="M46" s="15" t="n">
        <v>58</v>
      </c>
      <c r="N46" s="15" t="n">
        <v>70</v>
      </c>
      <c r="O46" s="15" t="n">
        <v>64</v>
      </c>
      <c r="P46" s="4" t="inlineStr">
        <is>
          <t>경험칙 초기값(XRD-Rietveld 정량 기준) — 공장 기준으로 교체 필요</t>
        </is>
      </c>
      <c r="Q46" s="16" t="n"/>
      <c r="R46" s="16" t="n"/>
      <c r="S46" s="16" t="n"/>
      <c r="T46" s="4" t="inlineStr">
        <is>
          <t>R1, R2, R3</t>
        </is>
      </c>
      <c r="U46" s="10" t="inlineStr"/>
      <c r="V46" s="4" t="inlineStr">
        <is>
          <t>실측 C₃S. Bogue 계산값보다 통상 높게 나옴(고용 불순물 영향) — 강도 예측의 핵심 입력</t>
        </is>
      </c>
    </row>
    <row r="47">
      <c r="A47" s="4" t="n">
        <v>46</v>
      </c>
      <c r="B47" s="4" t="inlineStr">
        <is>
          <t>클링커</t>
        </is>
      </c>
      <c r="C47" s="4" t="inlineStr">
        <is>
          <t>xrd_belite</t>
        </is>
      </c>
      <c r="D47" s="4" t="inlineStr">
        <is>
          <t>XRD 벨라이트(C₂S)</t>
        </is>
      </c>
      <c r="E47" s="4" t="inlineStr">
        <is>
          <t>%</t>
        </is>
      </c>
      <c r="F47" s="4" t="inlineStr">
        <is>
          <t>1일</t>
        </is>
      </c>
      <c r="G47" s="4" t="inlineStr">
        <is>
          <t>클링커 일일 시료(XRD·크롬, LIMS)</t>
        </is>
      </c>
      <c r="H47" s="4" t="inlineStr">
        <is>
          <t>XRD-Rietveld 정량</t>
        </is>
      </c>
      <c r="I47" s="4" t="inlineStr">
        <is>
          <t>전 품종</t>
        </is>
      </c>
      <c r="J47" s="14" t="n"/>
      <c r="K47" s="14" t="n"/>
      <c r="L47" s="4" t="inlineStr">
        <is>
          <t>-</t>
        </is>
      </c>
      <c r="M47" s="15" t="n">
        <v>8</v>
      </c>
      <c r="N47" s="15" t="n">
        <v>20</v>
      </c>
      <c r="O47" s="15" t="n">
        <v>14</v>
      </c>
      <c r="P47" s="4" t="inlineStr">
        <is>
          <t>경험칙 초기값(XRD-Rietveld 정량 기준) — 공장 기준으로 교체 필요</t>
        </is>
      </c>
      <c r="Q47" s="16" t="n"/>
      <c r="R47" s="16" t="n"/>
      <c r="S47" s="16" t="n"/>
      <c r="T47" s="4" t="inlineStr">
        <is>
          <t>R1</t>
        </is>
      </c>
      <c r="U47" s="10" t="inlineStr"/>
      <c r="V47" s="4" t="inlineStr">
        <is>
          <t>장기강도(28일 이후) 기여 광물. 과다 시 조기강도 저하</t>
        </is>
      </c>
    </row>
    <row r="48">
      <c r="A48" s="4" t="n">
        <v>47</v>
      </c>
      <c r="B48" s="4" t="inlineStr">
        <is>
          <t>클링커</t>
        </is>
      </c>
      <c r="C48" s="4" t="inlineStr">
        <is>
          <t>xrd_c3a</t>
        </is>
      </c>
      <c r="D48" s="4" t="inlineStr">
        <is>
          <t>XRD C₃A(입방+사방)</t>
        </is>
      </c>
      <c r="E48" s="4" t="inlineStr">
        <is>
          <t>%</t>
        </is>
      </c>
      <c r="F48" s="4" t="inlineStr">
        <is>
          <t>1일</t>
        </is>
      </c>
      <c r="G48" s="4" t="inlineStr">
        <is>
          <t>클링커 일일 시료(XRD·크롬, LIMS)</t>
        </is>
      </c>
      <c r="H48" s="4" t="inlineStr">
        <is>
          <t>XRD-Rietveld 정량</t>
        </is>
      </c>
      <c r="I48" s="4" t="inlineStr">
        <is>
          <t>전 품종</t>
        </is>
      </c>
      <c r="J48" s="14" t="n"/>
      <c r="K48" s="14" t="n"/>
      <c r="L48" s="4" t="inlineStr">
        <is>
          <t>-</t>
        </is>
      </c>
      <c r="M48" s="15" t="n"/>
      <c r="N48" s="15" t="n">
        <v>10</v>
      </c>
      <c r="O48" s="15" t="n">
        <v>7.5</v>
      </c>
      <c r="P48" s="4" t="inlineStr">
        <is>
          <t>경험칙 초기값(XRD-Rietveld 정량 기준) — 공장 기준으로 교체 필요</t>
        </is>
      </c>
      <c r="Q48" s="16" t="n"/>
      <c r="R48" s="16" t="n"/>
      <c r="S48" s="16" t="n"/>
      <c r="T48" s="4" t="inlineStr">
        <is>
          <t>R1</t>
        </is>
      </c>
      <c r="U48" s="10" t="inlineStr"/>
      <c r="V48" s="4" t="inlineStr">
        <is>
          <t>초기 수화·응결 속도와 석고 요구량을 좌우</t>
        </is>
      </c>
    </row>
    <row r="49">
      <c r="A49" s="4" t="n">
        <v>48</v>
      </c>
      <c r="B49" s="4" t="inlineStr">
        <is>
          <t>클링커</t>
        </is>
      </c>
      <c r="C49" s="4" t="inlineStr">
        <is>
          <t>xrd_c4af</t>
        </is>
      </c>
      <c r="D49" s="4" t="inlineStr">
        <is>
          <t>XRD 페라이트(C₄AF)</t>
        </is>
      </c>
      <c r="E49" s="4" t="inlineStr">
        <is>
          <t>%</t>
        </is>
      </c>
      <c r="F49" s="4" t="inlineStr">
        <is>
          <t>1일</t>
        </is>
      </c>
      <c r="G49" s="4" t="inlineStr">
        <is>
          <t>클링커 일일 시료(XRD·크롬, LIMS)</t>
        </is>
      </c>
      <c r="H49" s="4" t="inlineStr">
        <is>
          <t>XRD-Rietveld 정량</t>
        </is>
      </c>
      <c r="I49" s="4" t="inlineStr">
        <is>
          <t>전 품종</t>
        </is>
      </c>
      <c r="J49" s="14" t="n"/>
      <c r="K49" s="14" t="n"/>
      <c r="L49" s="4" t="inlineStr">
        <is>
          <t>-</t>
        </is>
      </c>
      <c r="M49" s="15" t="n"/>
      <c r="N49" s="15" t="n"/>
      <c r="O49" s="15" t="n"/>
      <c r="P49" s="4" t="inlineStr">
        <is>
          <t>모니터링 항목(기준 미설정)</t>
        </is>
      </c>
      <c r="Q49" s="16" t="n"/>
      <c r="R49" s="16" t="n"/>
      <c r="S49" s="16" t="n"/>
      <c r="T49" s="4" t="inlineStr">
        <is>
          <t>-</t>
        </is>
      </c>
      <c r="U49" s="10" t="inlineStr"/>
      <c r="V49" s="4" t="inlineStr"/>
    </row>
    <row r="50">
      <c r="A50" s="4" t="n">
        <v>49</v>
      </c>
      <c r="B50" s="4" t="inlineStr">
        <is>
          <t>클링커</t>
        </is>
      </c>
      <c r="C50" s="4" t="inlineStr">
        <is>
          <t>xrd_fcao</t>
        </is>
      </c>
      <c r="D50" s="4" t="inlineStr">
        <is>
          <t>XRD 자유석회</t>
        </is>
      </c>
      <c r="E50" s="4" t="inlineStr">
        <is>
          <t>%</t>
        </is>
      </c>
      <c r="F50" s="4" t="inlineStr">
        <is>
          <t>1일</t>
        </is>
      </c>
      <c r="G50" s="4" t="inlineStr">
        <is>
          <t>클링커 일일 시료(XRD·크롬, LIMS)</t>
        </is>
      </c>
      <c r="H50" s="4" t="inlineStr">
        <is>
          <t>XRD-Rietveld 정량</t>
        </is>
      </c>
      <c r="I50" s="4" t="inlineStr">
        <is>
          <t>전 품종</t>
        </is>
      </c>
      <c r="J50" s="14" t="n"/>
      <c r="K50" s="14" t="n"/>
      <c r="L50" s="4" t="inlineStr">
        <is>
          <t>-</t>
        </is>
      </c>
      <c r="M50" s="15" t="n"/>
      <c r="N50" s="15" t="n">
        <v>1.8</v>
      </c>
      <c r="O50" s="15" t="n">
        <v>1</v>
      </c>
      <c r="P50" s="4" t="inlineStr">
        <is>
          <t>경험칙 초기값(XRD-Rietveld 정량 기준) — 공장 기준으로 교체 필요</t>
        </is>
      </c>
      <c r="Q50" s="16" t="n"/>
      <c r="R50" s="16" t="n"/>
      <c r="S50" s="16" t="n"/>
      <c r="T50" s="4" t="inlineStr">
        <is>
          <t>R1</t>
        </is>
      </c>
      <c r="U50" s="10" t="inlineStr"/>
      <c r="V50" s="4" t="inlineStr"/>
    </row>
    <row r="51">
      <c r="A51" s="4" t="n">
        <v>50</v>
      </c>
      <c r="B51" s="4" t="inlineStr">
        <is>
          <t>클링커</t>
        </is>
      </c>
      <c r="C51" s="4" t="inlineStr">
        <is>
          <t>xrd_periclase</t>
        </is>
      </c>
      <c r="D51" s="4" t="inlineStr">
        <is>
          <t>XRD 페리클레이스(MgO)</t>
        </is>
      </c>
      <c r="E51" s="4" t="inlineStr">
        <is>
          <t>%</t>
        </is>
      </c>
      <c r="F51" s="4" t="inlineStr">
        <is>
          <t>1일</t>
        </is>
      </c>
      <c r="G51" s="4" t="inlineStr">
        <is>
          <t>클링커 일일 시료(XRD·크롬, LIMS)</t>
        </is>
      </c>
      <c r="H51" s="4" t="inlineStr">
        <is>
          <t>XRD-Rietveld 정량</t>
        </is>
      </c>
      <c r="I51" s="4" t="inlineStr">
        <is>
          <t>전 품종</t>
        </is>
      </c>
      <c r="J51" s="14" t="n"/>
      <c r="K51" s="14" t="n"/>
      <c r="L51" s="4" t="inlineStr">
        <is>
          <t>-</t>
        </is>
      </c>
      <c r="M51" s="15" t="n"/>
      <c r="N51" s="15" t="n">
        <v>2</v>
      </c>
      <c r="O51" s="15" t="n">
        <v>1</v>
      </c>
      <c r="P51" s="4" t="inlineStr">
        <is>
          <t>경험칙 초기값(XRD-Rietveld 정량 기준) — 공장 기준으로 교체 필요</t>
        </is>
      </c>
      <c r="Q51" s="16" t="n"/>
      <c r="R51" s="16" t="n"/>
      <c r="S51" s="16" t="n"/>
      <c r="T51" s="4" t="inlineStr">
        <is>
          <t>R1</t>
        </is>
      </c>
      <c r="U51" s="10" t="inlineStr"/>
      <c r="V51" s="4" t="inlineStr">
        <is>
          <t>결정질 MgO. 과다 시 오토클레이브 팽창(안정도) 위험</t>
        </is>
      </c>
    </row>
    <row r="52">
      <c r="A52" s="4" t="n">
        <v>51</v>
      </c>
      <c r="B52" s="4" t="inlineStr">
        <is>
          <t>클링커</t>
        </is>
      </c>
      <c r="C52" s="4" t="inlineStr">
        <is>
          <t>clk_cr</t>
        </is>
      </c>
      <c r="D52" s="4" t="inlineStr">
        <is>
          <t>클링커 총 크롬</t>
        </is>
      </c>
      <c r="E52" s="4" t="inlineStr">
        <is>
          <t>mg/kg</t>
        </is>
      </c>
      <c r="F52" s="4" t="inlineStr">
        <is>
          <t>1일</t>
        </is>
      </c>
      <c r="G52" s="4" t="inlineStr">
        <is>
          <t>클링커 일일 시료(XRD·크롬, LIMS)</t>
        </is>
      </c>
      <c r="H52" s="4" t="inlineStr">
        <is>
          <t>XRF / ICP(총 크롬)</t>
        </is>
      </c>
      <c r="I52" s="4" t="inlineStr">
        <is>
          <t>전 품종</t>
        </is>
      </c>
      <c r="J52" s="14" t="n"/>
      <c r="K52" s="14" t="n"/>
      <c r="L52" s="4" t="inlineStr">
        <is>
          <t>-</t>
        </is>
      </c>
      <c r="M52" s="15" t="n"/>
      <c r="N52" s="15" t="n">
        <v>120</v>
      </c>
      <c r="O52" s="15" t="n">
        <v>65</v>
      </c>
      <c r="P52" s="4" t="inlineStr">
        <is>
          <t>경험칙 초기값 — 공장 기준으로 교체 필요</t>
        </is>
      </c>
      <c r="Q52" s="16" t="n"/>
      <c r="R52" s="16" t="n"/>
      <c r="S52" s="16" t="n"/>
      <c r="T52" s="4" t="inlineStr">
        <is>
          <t>R1</t>
        </is>
      </c>
      <c r="U52" s="10" t="inlineStr"/>
      <c r="V52" s="4" t="inlineStr">
        <is>
          <t>원·부원료·연료·내화물에서 유입된 크롬(XRF/ICP). 6가크롬의 모체</t>
        </is>
      </c>
    </row>
    <row r="53">
      <c r="A53" s="4" t="n">
        <v>52</v>
      </c>
      <c r="B53" s="4" t="inlineStr">
        <is>
          <t>클링커</t>
        </is>
      </c>
      <c r="C53" s="4" t="inlineStr">
        <is>
          <t>clk_crvi</t>
        </is>
      </c>
      <c r="D53" s="4" t="inlineStr">
        <is>
          <t>클링커 수용성 Cr⁶⁺</t>
        </is>
      </c>
      <c r="E53" s="4" t="inlineStr">
        <is>
          <t>mg/kg</t>
        </is>
      </c>
      <c r="F53" s="4" t="inlineStr">
        <is>
          <t>1일</t>
        </is>
      </c>
      <c r="G53" s="4" t="inlineStr">
        <is>
          <t>클링커 일일 시료(XRD·크롬, LIMS)</t>
        </is>
      </c>
      <c r="H53" s="4" t="inlineStr">
        <is>
          <t>KS L 5221 준용</t>
        </is>
      </c>
      <c r="I53" s="4" t="inlineStr">
        <is>
          <t>전 품종</t>
        </is>
      </c>
      <c r="J53" s="14" t="n"/>
      <c r="K53" s="14" t="n"/>
      <c r="L53" s="4" t="inlineStr">
        <is>
          <t>-</t>
        </is>
      </c>
      <c r="M53" s="15" t="n"/>
      <c r="N53" s="15" t="n">
        <v>15</v>
      </c>
      <c r="O53" s="15" t="n">
        <v>8</v>
      </c>
      <c r="P53" s="4" t="inlineStr">
        <is>
          <t>경험칙 초기값 — 공장 기준으로 교체 필요</t>
        </is>
      </c>
      <c r="Q53" s="16" t="n"/>
      <c r="R53" s="16" t="n"/>
      <c r="S53" s="16" t="n"/>
      <c r="T53" s="4" t="inlineStr">
        <is>
          <t>R1</t>
        </is>
      </c>
      <c r="U53" s="10" t="inlineStr"/>
      <c r="V53" s="4" t="inlineStr">
        <is>
          <t>킬른 산화 분위기·알칼리에서 Cr³⁺ → Cr⁶⁺ 전환(KS L 5221 방법 준용)</t>
        </is>
      </c>
    </row>
    <row r="54">
      <c r="A54" s="4" t="n">
        <v>53</v>
      </c>
      <c r="B54" s="4" t="inlineStr">
        <is>
          <t>시멘트(분쇄)</t>
        </is>
      </c>
      <c r="C54" s="4" t="inlineStr">
        <is>
          <t>cem_blaine</t>
        </is>
      </c>
      <c r="D54" s="17" t="inlineStr">
        <is>
          <t>시멘트 분말도(Blaine)</t>
        </is>
      </c>
      <c r="E54" s="4" t="inlineStr">
        <is>
          <t>cm²/g</t>
        </is>
      </c>
      <c r="F54" s="4" t="inlineStr">
        <is>
          <t>2시간</t>
        </is>
      </c>
      <c r="G54" s="4" t="inlineStr">
        <is>
          <t>XRF·분말도 시험 + DCS(밀 운전)</t>
        </is>
      </c>
      <c r="H54" s="4" t="inlineStr">
        <is>
          <t>KS L 5106(블레인)</t>
        </is>
      </c>
      <c r="I54" s="4" t="inlineStr">
        <is>
          <t>1종</t>
        </is>
      </c>
      <c r="J54" s="14" t="n">
        <v>2800</v>
      </c>
      <c r="K54" s="14" t="n"/>
      <c r="L54" s="4" t="inlineStr">
        <is>
          <t>KS L 5201 포틀랜드 시멘트</t>
        </is>
      </c>
      <c r="M54" s="15" t="n">
        <v>3250</v>
      </c>
      <c r="N54" s="15" t="n">
        <v>3700</v>
      </c>
      <c r="O54" s="15" t="n">
        <v>3450</v>
      </c>
      <c r="P54" s="4" t="inlineStr">
        <is>
          <t>경험칙 초기값 — 공장 기준으로 교체 필요</t>
        </is>
      </c>
      <c r="Q54" s="16" t="n"/>
      <c r="R54" s="16" t="n"/>
      <c r="S54" s="16" t="n"/>
      <c r="T54" s="4" t="inlineStr">
        <is>
          <t>R1, R2, R3, R5, R6</t>
        </is>
      </c>
      <c r="U54" s="10" t="inlineStr">
        <is>
          <t>●</t>
        </is>
      </c>
      <c r="V54" s="4" t="inlineStr"/>
    </row>
    <row r="55">
      <c r="A55" s="4" t="n">
        <v>54</v>
      </c>
      <c r="B55" s="4" t="inlineStr">
        <is>
          <t>시멘트(분쇄)</t>
        </is>
      </c>
      <c r="C55" s="4" t="inlineStr">
        <is>
          <t>cem_blaine</t>
        </is>
      </c>
      <c r="D55" s="17" t="inlineStr">
        <is>
          <t>시멘트 분말도(Blaine)</t>
        </is>
      </c>
      <c r="E55" s="4" t="inlineStr">
        <is>
          <t>cm²/g</t>
        </is>
      </c>
      <c r="F55" s="4" t="inlineStr">
        <is>
          <t>2시간</t>
        </is>
      </c>
      <c r="G55" s="4" t="inlineStr">
        <is>
          <t>XRF·분말도 시험 + DCS(밀 운전)</t>
        </is>
      </c>
      <c r="H55" s="4" t="inlineStr">
        <is>
          <t>KS L 5106(블레인)</t>
        </is>
      </c>
      <c r="I55" s="4" t="inlineStr">
        <is>
          <t>3종</t>
        </is>
      </c>
      <c r="J55" s="14" t="n">
        <v>3300</v>
      </c>
      <c r="K55" s="14" t="n"/>
      <c r="L55" s="4" t="inlineStr">
        <is>
          <t>KS L 5201 포틀랜드 시멘트</t>
        </is>
      </c>
      <c r="M55" s="15" t="n">
        <v>4350</v>
      </c>
      <c r="N55" s="15" t="n">
        <v>4850</v>
      </c>
      <c r="O55" s="15" t="n">
        <v>4600</v>
      </c>
      <c r="P55" s="4" t="inlineStr">
        <is>
          <t>경험칙 초기값 — 공장 기준으로 교체 필요</t>
        </is>
      </c>
      <c r="Q55" s="16" t="n"/>
      <c r="R55" s="16" t="n"/>
      <c r="S55" s="16" t="n"/>
      <c r="T55" s="4" t="inlineStr">
        <is>
          <t>R1, R2, R3, R5, R6</t>
        </is>
      </c>
      <c r="U55" s="10" t="inlineStr">
        <is>
          <t>●</t>
        </is>
      </c>
      <c r="V55" s="4" t="inlineStr"/>
    </row>
    <row r="56">
      <c r="A56" s="4" t="n">
        <v>55</v>
      </c>
      <c r="B56" s="4" t="inlineStr">
        <is>
          <t>시멘트(분쇄)</t>
        </is>
      </c>
      <c r="C56" s="4" t="inlineStr">
        <is>
          <t>cem_r45</t>
        </is>
      </c>
      <c r="D56" s="4" t="inlineStr">
        <is>
          <t>시멘트 45μm 잔사</t>
        </is>
      </c>
      <c r="E56" s="4" t="inlineStr">
        <is>
          <t>%</t>
        </is>
      </c>
      <c r="F56" s="4" t="inlineStr">
        <is>
          <t>2시간</t>
        </is>
      </c>
      <c r="G56" s="4" t="inlineStr">
        <is>
          <t>XRF·분말도 시험 + DCS(밀 운전)</t>
        </is>
      </c>
      <c r="H56" s="4" t="inlineStr">
        <is>
          <t>-</t>
        </is>
      </c>
      <c r="I56" s="4" t="inlineStr">
        <is>
          <t>1종</t>
        </is>
      </c>
      <c r="J56" s="14" t="n"/>
      <c r="K56" s="14" t="n"/>
      <c r="L56" s="4" t="inlineStr">
        <is>
          <t>-</t>
        </is>
      </c>
      <c r="M56" s="15" t="n"/>
      <c r="N56" s="15" t="n">
        <v>12</v>
      </c>
      <c r="O56" s="15" t="n">
        <v>9.5</v>
      </c>
      <c r="P56" s="4" t="inlineStr">
        <is>
          <t>경험칙 초기값 — 공장 기준으로 교체 필요</t>
        </is>
      </c>
      <c r="Q56" s="16" t="n"/>
      <c r="R56" s="16" t="n"/>
      <c r="S56" s="16" t="n"/>
      <c r="T56" s="4" t="inlineStr">
        <is>
          <t>R1</t>
        </is>
      </c>
      <c r="U56" s="10" t="inlineStr"/>
      <c r="V56" s="4" t="inlineStr"/>
    </row>
    <row r="57">
      <c r="A57" s="4" t="n">
        <v>56</v>
      </c>
      <c r="B57" s="4" t="inlineStr">
        <is>
          <t>시멘트(분쇄)</t>
        </is>
      </c>
      <c r="C57" s="4" t="inlineStr">
        <is>
          <t>cem_r45</t>
        </is>
      </c>
      <c r="D57" s="4" t="inlineStr">
        <is>
          <t>시멘트 45μm 잔사</t>
        </is>
      </c>
      <c r="E57" s="4" t="inlineStr">
        <is>
          <t>%</t>
        </is>
      </c>
      <c r="F57" s="4" t="inlineStr">
        <is>
          <t>2시간</t>
        </is>
      </c>
      <c r="G57" s="4" t="inlineStr">
        <is>
          <t>XRF·분말도 시험 + DCS(밀 운전)</t>
        </is>
      </c>
      <c r="H57" s="4" t="inlineStr">
        <is>
          <t>-</t>
        </is>
      </c>
      <c r="I57" s="4" t="inlineStr">
        <is>
          <t>3종</t>
        </is>
      </c>
      <c r="J57" s="14" t="n"/>
      <c r="K57" s="14" t="n"/>
      <c r="L57" s="4" t="inlineStr">
        <is>
          <t>-</t>
        </is>
      </c>
      <c r="M57" s="15" t="n"/>
      <c r="N57" s="15" t="n">
        <v>5</v>
      </c>
      <c r="O57" s="15" t="n">
        <v>3</v>
      </c>
      <c r="P57" s="4" t="inlineStr">
        <is>
          <t>경험칙 초기값 — 공장 기준으로 교체 필요</t>
        </is>
      </c>
      <c r="Q57" s="16" t="n"/>
      <c r="R57" s="16" t="n"/>
      <c r="S57" s="16" t="n"/>
      <c r="T57" s="4" t="inlineStr">
        <is>
          <t>R1</t>
        </is>
      </c>
      <c r="U57" s="10" t="inlineStr"/>
      <c r="V57" s="4" t="inlineStr"/>
    </row>
    <row r="58">
      <c r="A58" s="4" t="n">
        <v>57</v>
      </c>
      <c r="B58" s="4" t="inlineStr">
        <is>
          <t>시멘트(분쇄)</t>
        </is>
      </c>
      <c r="C58" s="4" t="inlineStr">
        <is>
          <t>cem_so3</t>
        </is>
      </c>
      <c r="D58" s="17" t="inlineStr">
        <is>
          <t>시멘트 SO₃</t>
        </is>
      </c>
      <c r="E58" s="4" t="inlineStr">
        <is>
          <t>%</t>
        </is>
      </c>
      <c r="F58" s="4" t="inlineStr">
        <is>
          <t>2시간</t>
        </is>
      </c>
      <c r="G58" s="4" t="inlineStr">
        <is>
          <t>XRF·분말도 시험 + DCS(밀 운전)</t>
        </is>
      </c>
      <c r="H58" s="4" t="inlineStr">
        <is>
          <t>KS L 5120 / XRF</t>
        </is>
      </c>
      <c r="I58" s="4" t="inlineStr">
        <is>
          <t>1종</t>
        </is>
      </c>
      <c r="J58" s="14" t="n"/>
      <c r="K58" s="14" t="n">
        <v>3.5</v>
      </c>
      <c r="L58" s="4" t="inlineStr">
        <is>
          <t>KS L 5201 포틀랜드 시멘트</t>
        </is>
      </c>
      <c r="M58" s="15" t="n">
        <v>2.3</v>
      </c>
      <c r="N58" s="15" t="n">
        <v>3</v>
      </c>
      <c r="O58" s="15" t="n">
        <v>2.6</v>
      </c>
      <c r="P58" s="4" t="inlineStr">
        <is>
          <t>경험칙 초기값 — 공장 기준으로 교체 필요</t>
        </is>
      </c>
      <c r="Q58" s="16" t="n"/>
      <c r="R58" s="16" t="n"/>
      <c r="S58" s="16" t="n"/>
      <c r="T58" s="4" t="inlineStr">
        <is>
          <t>R1, R2, R3, R5, R6</t>
        </is>
      </c>
      <c r="U58" s="10" t="inlineStr">
        <is>
          <t>●</t>
        </is>
      </c>
      <c r="V58" s="4" t="inlineStr">
        <is>
          <t>석고 최적 SO₃ 이탈 시 강도·응결 변동</t>
        </is>
      </c>
    </row>
    <row r="59">
      <c r="A59" s="4" t="n">
        <v>58</v>
      </c>
      <c r="B59" s="4" t="inlineStr">
        <is>
          <t>시멘트(분쇄)</t>
        </is>
      </c>
      <c r="C59" s="4" t="inlineStr">
        <is>
          <t>cem_so3</t>
        </is>
      </c>
      <c r="D59" s="17" t="inlineStr">
        <is>
          <t>시멘트 SO₃</t>
        </is>
      </c>
      <c r="E59" s="4" t="inlineStr">
        <is>
          <t>%</t>
        </is>
      </c>
      <c r="F59" s="4" t="inlineStr">
        <is>
          <t>2시간</t>
        </is>
      </c>
      <c r="G59" s="4" t="inlineStr">
        <is>
          <t>XRF·분말도 시험 + DCS(밀 운전)</t>
        </is>
      </c>
      <c r="H59" s="4" t="inlineStr">
        <is>
          <t>KS L 5120 / XRF</t>
        </is>
      </c>
      <c r="I59" s="4" t="inlineStr">
        <is>
          <t>3종</t>
        </is>
      </c>
      <c r="J59" s="14" t="n"/>
      <c r="K59" s="14" t="n">
        <v>4.5</v>
      </c>
      <c r="L59" s="4" t="inlineStr">
        <is>
          <t>KS L 5201 포틀랜드 시멘트</t>
        </is>
      </c>
      <c r="M59" s="15" t="n">
        <v>2.9</v>
      </c>
      <c r="N59" s="15" t="n">
        <v>3.6</v>
      </c>
      <c r="O59" s="15" t="n">
        <v>3.2</v>
      </c>
      <c r="P59" s="4" t="inlineStr">
        <is>
          <t>경험칙 초기값 — 공장 기준으로 교체 필요</t>
        </is>
      </c>
      <c r="Q59" s="16" t="n"/>
      <c r="R59" s="16" t="n"/>
      <c r="S59" s="16" t="n"/>
      <c r="T59" s="4" t="inlineStr">
        <is>
          <t>R1, R2, R3, R5, R6</t>
        </is>
      </c>
      <c r="U59" s="10" t="inlineStr">
        <is>
          <t>●</t>
        </is>
      </c>
      <c r="V59" s="4" t="inlineStr">
        <is>
          <t>석고 최적 SO₃ 이탈 시 강도·응결 변동</t>
        </is>
      </c>
    </row>
    <row r="60">
      <c r="A60" s="4" t="n">
        <v>59</v>
      </c>
      <c r="B60" s="4" t="inlineStr">
        <is>
          <t>시멘트(분쇄)</t>
        </is>
      </c>
      <c r="C60" s="4" t="inlineStr">
        <is>
          <t>cem_loi</t>
        </is>
      </c>
      <c r="D60" s="4" t="inlineStr">
        <is>
          <t>시멘트 강열감량</t>
        </is>
      </c>
      <c r="E60" s="4" t="inlineStr">
        <is>
          <t>%</t>
        </is>
      </c>
      <c r="F60" s="4" t="inlineStr">
        <is>
          <t>2시간</t>
        </is>
      </c>
      <c r="G60" s="4" t="inlineStr">
        <is>
          <t>XRF·분말도 시험 + DCS(밀 운전)</t>
        </is>
      </c>
      <c r="H60" s="4" t="inlineStr">
        <is>
          <t>KS L 5120</t>
        </is>
      </c>
      <c r="I60" s="4" t="inlineStr">
        <is>
          <t>1종</t>
        </is>
      </c>
      <c r="J60" s="14" t="n"/>
      <c r="K60" s="14" t="n">
        <v>5</v>
      </c>
      <c r="L60" s="4" t="inlineStr">
        <is>
          <t>KS L 5201 포틀랜드 시멘트 (2016 개정 5.0%)</t>
        </is>
      </c>
      <c r="M60" s="15" t="n"/>
      <c r="N60" s="15" t="n">
        <v>3.8</v>
      </c>
      <c r="O60" s="15" t="n">
        <v>2.8</v>
      </c>
      <c r="P60" s="4" t="inlineStr">
        <is>
          <t>경험칙 초기값 — 공장 기준으로 교체 필요</t>
        </is>
      </c>
      <c r="Q60" s="16" t="n"/>
      <c r="R60" s="16" t="n"/>
      <c r="S60" s="16" t="n"/>
      <c r="T60" s="4" t="inlineStr">
        <is>
          <t>R1</t>
        </is>
      </c>
      <c r="U60" s="10" t="inlineStr"/>
      <c r="V60" s="4" t="inlineStr"/>
    </row>
    <row r="61">
      <c r="A61" s="4" t="n">
        <v>60</v>
      </c>
      <c r="B61" s="4" t="inlineStr">
        <is>
          <t>시멘트(분쇄)</t>
        </is>
      </c>
      <c r="C61" s="4" t="inlineStr">
        <is>
          <t>cem_loi</t>
        </is>
      </c>
      <c r="D61" s="4" t="inlineStr">
        <is>
          <t>시멘트 강열감량</t>
        </is>
      </c>
      <c r="E61" s="4" t="inlineStr">
        <is>
          <t>%</t>
        </is>
      </c>
      <c r="F61" s="4" t="inlineStr">
        <is>
          <t>2시간</t>
        </is>
      </c>
      <c r="G61" s="4" t="inlineStr">
        <is>
          <t>XRF·분말도 시험 + DCS(밀 운전)</t>
        </is>
      </c>
      <c r="H61" s="4" t="inlineStr">
        <is>
          <t>KS L 5120</t>
        </is>
      </c>
      <c r="I61" s="4" t="inlineStr">
        <is>
          <t>3종</t>
        </is>
      </c>
      <c r="J61" s="14" t="n"/>
      <c r="K61" s="14" t="n">
        <v>5</v>
      </c>
      <c r="L61" s="4" t="inlineStr">
        <is>
          <t>KS L 5201 포틀랜드 시멘트 (2016 개정 5.0%)</t>
        </is>
      </c>
      <c r="M61" s="15" t="n"/>
      <c r="N61" s="15" t="n">
        <v>3</v>
      </c>
      <c r="O61" s="15" t="n">
        <v>2</v>
      </c>
      <c r="P61" s="4" t="inlineStr">
        <is>
          <t>경험칙 초기값 — 공장 기준으로 교체 필요</t>
        </is>
      </c>
      <c r="Q61" s="16" t="n"/>
      <c r="R61" s="16" t="n"/>
      <c r="S61" s="16" t="n"/>
      <c r="T61" s="4" t="inlineStr">
        <is>
          <t>R1</t>
        </is>
      </c>
      <c r="U61" s="10" t="inlineStr"/>
      <c r="V61" s="4" t="inlineStr"/>
    </row>
    <row r="62">
      <c r="A62" s="4" t="n">
        <v>61</v>
      </c>
      <c r="B62" s="4" t="inlineStr">
        <is>
          <t>시멘트(분쇄)</t>
        </is>
      </c>
      <c r="C62" s="4" t="inlineStr">
        <is>
          <t>cem_mgo</t>
        </is>
      </c>
      <c r="D62" s="4" t="inlineStr">
        <is>
          <t>시멘트 MgO</t>
        </is>
      </c>
      <c r="E62" s="4" t="inlineStr">
        <is>
          <t>%</t>
        </is>
      </c>
      <c r="F62" s="4" t="inlineStr">
        <is>
          <t>2시간</t>
        </is>
      </c>
      <c r="G62" s="4" t="inlineStr">
        <is>
          <t>XRF·분말도 시험 + DCS(밀 운전)</t>
        </is>
      </c>
      <c r="H62" s="4" t="inlineStr">
        <is>
          <t>KS L 5120 / XRF</t>
        </is>
      </c>
      <c r="I62" s="4" t="inlineStr">
        <is>
          <t>전 품종</t>
        </is>
      </c>
      <c r="J62" s="14" t="n"/>
      <c r="K62" s="14" t="n">
        <v>5</v>
      </c>
      <c r="L62" s="4" t="inlineStr">
        <is>
          <t>KS L 5201 포틀랜드 시멘트</t>
        </is>
      </c>
      <c r="M62" s="15" t="n"/>
      <c r="N62" s="15" t="n">
        <v>4.5</v>
      </c>
      <c r="O62" s="15" t="n"/>
      <c r="P62" s="4" t="inlineStr">
        <is>
          <t>경험칙 초기값 — 공장 기준으로 교체 필요</t>
        </is>
      </c>
      <c r="Q62" s="16" t="n"/>
      <c r="R62" s="16" t="n"/>
      <c r="S62" s="16" t="n"/>
      <c r="T62" s="4" t="inlineStr">
        <is>
          <t>R1</t>
        </is>
      </c>
      <c r="U62" s="10" t="inlineStr"/>
      <c r="V62" s="4" t="inlineStr"/>
    </row>
    <row r="63">
      <c r="A63" s="4" t="n">
        <v>62</v>
      </c>
      <c r="B63" s="4" t="inlineStr">
        <is>
          <t>시멘트(분쇄)</t>
        </is>
      </c>
      <c r="C63" s="4" t="inlineStr">
        <is>
          <t>cem_ls</t>
        </is>
      </c>
      <c r="D63" s="4" t="inlineStr">
        <is>
          <t>석회석 혼합률</t>
        </is>
      </c>
      <c r="E63" s="4" t="inlineStr">
        <is>
          <t>%</t>
        </is>
      </c>
      <c r="F63" s="4" t="inlineStr">
        <is>
          <t>2시간</t>
        </is>
      </c>
      <c r="G63" s="4" t="inlineStr">
        <is>
          <t>XRF·분말도 시험 + DCS(밀 운전)</t>
        </is>
      </c>
      <c r="H63" s="4" t="inlineStr">
        <is>
          <t>CO₂·강열감량 역산 / 공급기 실적</t>
        </is>
      </c>
      <c r="I63" s="4" t="inlineStr">
        <is>
          <t>1종</t>
        </is>
      </c>
      <c r="J63" s="14" t="n"/>
      <c r="K63" s="14" t="n"/>
      <c r="L63" s="4" t="inlineStr">
        <is>
          <t>-</t>
        </is>
      </c>
      <c r="M63" s="15" t="n"/>
      <c r="N63" s="15" t="n">
        <v>5</v>
      </c>
      <c r="O63" s="15" t="n">
        <v>4</v>
      </c>
      <c r="P63" s="4" t="inlineStr">
        <is>
          <t>KS L 5201 소량 혼합성분 한도(석회석 미분말 5% 등, 2013 개정) — 원문 확인 필요, 사내 상한으로만 관리</t>
        </is>
      </c>
      <c r="Q63" s="16" t="n"/>
      <c r="R63" s="16" t="n"/>
      <c r="S63" s="16" t="n"/>
      <c r="T63" s="4" t="inlineStr">
        <is>
          <t>R1</t>
        </is>
      </c>
      <c r="U63" s="10" t="inlineStr"/>
      <c r="V63" s="4" t="inlineStr">
        <is>
          <t>클링커 희석 → 강도 저하(경험칙: 1%p당 28일 약 0.3~0.5 MPa), 6가크롬 희석 효과</t>
        </is>
      </c>
    </row>
    <row r="64">
      <c r="A64" s="4" t="n">
        <v>63</v>
      </c>
      <c r="B64" s="4" t="inlineStr">
        <is>
          <t>시멘트(분쇄)</t>
        </is>
      </c>
      <c r="C64" s="4" t="inlineStr">
        <is>
          <t>cem_ls</t>
        </is>
      </c>
      <c r="D64" s="4" t="inlineStr">
        <is>
          <t>석회석 혼합률</t>
        </is>
      </c>
      <c r="E64" s="4" t="inlineStr">
        <is>
          <t>%</t>
        </is>
      </c>
      <c r="F64" s="4" t="inlineStr">
        <is>
          <t>2시간</t>
        </is>
      </c>
      <c r="G64" s="4" t="inlineStr">
        <is>
          <t>XRF·분말도 시험 + DCS(밀 운전)</t>
        </is>
      </c>
      <c r="H64" s="4" t="inlineStr">
        <is>
          <t>CO₂·강열감량 역산 / 공급기 실적</t>
        </is>
      </c>
      <c r="I64" s="4" t="inlineStr">
        <is>
          <t>3종</t>
        </is>
      </c>
      <c r="J64" s="14" t="n"/>
      <c r="K64" s="14" t="n"/>
      <c r="L64" s="4" t="inlineStr">
        <is>
          <t>-</t>
        </is>
      </c>
      <c r="M64" s="15" t="n"/>
      <c r="N64" s="15" t="n">
        <v>5</v>
      </c>
      <c r="O64" s="15" t="n">
        <v>1.5</v>
      </c>
      <c r="P64" s="4" t="inlineStr">
        <is>
          <t>KS L 5201 소량 혼합성분 한도(석회석 미분말 5% 등, 2013 개정) — 원문 확인 필요, 사내 상한으로만 관리</t>
        </is>
      </c>
      <c r="Q64" s="16" t="n"/>
      <c r="R64" s="16" t="n"/>
      <c r="S64" s="16" t="n"/>
      <c r="T64" s="4" t="inlineStr">
        <is>
          <t>R1</t>
        </is>
      </c>
      <c r="U64" s="10" t="inlineStr"/>
      <c r="V64" s="4" t="inlineStr">
        <is>
          <t>클링커 희석 → 강도 저하(경험칙: 1%p당 28일 약 0.3~0.5 MPa), 6가크롬 희석 효과</t>
        </is>
      </c>
    </row>
    <row r="65">
      <c r="A65" s="4" t="n">
        <v>64</v>
      </c>
      <c r="B65" s="4" t="inlineStr">
        <is>
          <t>시멘트(분쇄)</t>
        </is>
      </c>
      <c r="C65" s="4" t="inlineStr">
        <is>
          <t>cem_mill_feed</t>
        </is>
      </c>
      <c r="D65" s="4" t="inlineStr">
        <is>
          <t>시멘트밀 투입량</t>
        </is>
      </c>
      <c r="E65" s="4" t="inlineStr">
        <is>
          <t>t/h</t>
        </is>
      </c>
      <c r="F65" s="4" t="inlineStr">
        <is>
          <t>2시간</t>
        </is>
      </c>
      <c r="G65" s="4" t="inlineStr">
        <is>
          <t>XRF·분말도 시험 + DCS(밀 운전)</t>
        </is>
      </c>
      <c r="H65" s="4" t="inlineStr">
        <is>
          <t>-</t>
        </is>
      </c>
      <c r="I65" s="4" t="inlineStr">
        <is>
          <t>전 품종</t>
        </is>
      </c>
      <c r="J65" s="14" t="n"/>
      <c r="K65" s="14" t="n"/>
      <c r="L65" s="4" t="inlineStr">
        <is>
          <t>-</t>
        </is>
      </c>
      <c r="M65" s="15" t="n"/>
      <c r="N65" s="15" t="n"/>
      <c r="O65" s="15" t="n"/>
      <c r="P65" s="4" t="inlineStr">
        <is>
          <t>운전 변수(기준 미설정)</t>
        </is>
      </c>
      <c r="Q65" s="16" t="n"/>
      <c r="R65" s="16" t="n"/>
      <c r="S65" s="16" t="n"/>
      <c r="T65" s="4" t="inlineStr">
        <is>
          <t>-</t>
        </is>
      </c>
      <c r="U65" s="10" t="inlineStr"/>
      <c r="V65" s="4" t="inlineStr"/>
    </row>
    <row r="66">
      <c r="A66" s="4" t="n">
        <v>65</v>
      </c>
      <c r="B66" s="4" t="inlineStr">
        <is>
          <t>시멘트(분쇄)</t>
        </is>
      </c>
      <c r="C66" s="4" t="inlineStr">
        <is>
          <t>cem_mill_temp</t>
        </is>
      </c>
      <c r="D66" s="4" t="inlineStr">
        <is>
          <t>시멘트밀 출구 온도</t>
        </is>
      </c>
      <c r="E66" s="4" t="inlineStr">
        <is>
          <t>℃</t>
        </is>
      </c>
      <c r="F66" s="4" t="inlineStr">
        <is>
          <t>2시간</t>
        </is>
      </c>
      <c r="G66" s="4" t="inlineStr">
        <is>
          <t>XRF·분말도 시험 + DCS(밀 운전)</t>
        </is>
      </c>
      <c r="H66" s="4" t="inlineStr">
        <is>
          <t>-</t>
        </is>
      </c>
      <c r="I66" s="4" t="inlineStr">
        <is>
          <t>전 품종</t>
        </is>
      </c>
      <c r="J66" s="14" t="n"/>
      <c r="K66" s="14" t="n"/>
      <c r="L66" s="4" t="inlineStr">
        <is>
          <t>-</t>
        </is>
      </c>
      <c r="M66" s="15" t="n">
        <v>90</v>
      </c>
      <c r="N66" s="15" t="n">
        <v>120</v>
      </c>
      <c r="O66" s="15" t="n">
        <v>105</v>
      </c>
      <c r="P66" s="4" t="inlineStr">
        <is>
          <t>경험칙 초기값 — 공장 기준으로 교체 필요</t>
        </is>
      </c>
      <c r="Q66" s="16" t="n"/>
      <c r="R66" s="16" t="n"/>
      <c r="S66" s="16" t="n"/>
      <c r="T66" s="4" t="inlineStr">
        <is>
          <t>R1</t>
        </is>
      </c>
      <c r="U66" s="10" t="inlineStr"/>
      <c r="V66" s="4" t="inlineStr">
        <is>
          <t>과고 시 이수석고 탈수(반수석고화) → 위응결 위험</t>
        </is>
      </c>
    </row>
    <row r="67">
      <c r="A67" s="4" t="n">
        <v>66</v>
      </c>
      <c r="B67" s="4" t="inlineStr">
        <is>
          <t>제품 물성</t>
        </is>
      </c>
      <c r="C67" s="4" t="inlineStr">
        <is>
          <t>phy_ist</t>
        </is>
      </c>
      <c r="D67" s="4" t="inlineStr">
        <is>
          <t>초결 시간</t>
        </is>
      </c>
      <c r="E67" s="4" t="inlineStr">
        <is>
          <t>분</t>
        </is>
      </c>
      <c r="F67" s="4" t="inlineStr">
        <is>
          <t>1일</t>
        </is>
      </c>
      <c r="G67" s="4" t="inlineStr">
        <is>
          <t>물성 시험실(LIMS)</t>
        </is>
      </c>
      <c r="H67" s="4" t="inlineStr">
        <is>
          <t>KS L 5108(비카)</t>
        </is>
      </c>
      <c r="I67" s="4" t="inlineStr">
        <is>
          <t>1종</t>
        </is>
      </c>
      <c r="J67" s="14" t="n">
        <v>60</v>
      </c>
      <c r="K67" s="14" t="n"/>
      <c r="L67" s="4" t="inlineStr">
        <is>
          <t>KS L 5201 포틀랜드 시멘트 (비카 초결 60분 이상)</t>
        </is>
      </c>
      <c r="M67" s="15" t="n">
        <v>150</v>
      </c>
      <c r="N67" s="15" t="n">
        <v>300</v>
      </c>
      <c r="O67" s="15" t="n">
        <v>220</v>
      </c>
      <c r="P67" s="4" t="inlineStr">
        <is>
          <t>경험칙 초기값 — 공장 기준으로 교체 필요</t>
        </is>
      </c>
      <c r="Q67" s="16" t="n"/>
      <c r="R67" s="16" t="n"/>
      <c r="S67" s="16" t="n"/>
      <c r="T67" s="4" t="inlineStr">
        <is>
          <t>R1</t>
        </is>
      </c>
      <c r="U67" s="10" t="inlineStr"/>
      <c r="V67" s="4" t="inlineStr"/>
    </row>
    <row r="68">
      <c r="A68" s="4" t="n">
        <v>67</v>
      </c>
      <c r="B68" s="4" t="inlineStr">
        <is>
          <t>제품 물성</t>
        </is>
      </c>
      <c r="C68" s="4" t="inlineStr">
        <is>
          <t>phy_ist</t>
        </is>
      </c>
      <c r="D68" s="4" t="inlineStr">
        <is>
          <t>초결 시간</t>
        </is>
      </c>
      <c r="E68" s="4" t="inlineStr">
        <is>
          <t>분</t>
        </is>
      </c>
      <c r="F68" s="4" t="inlineStr">
        <is>
          <t>1일</t>
        </is>
      </c>
      <c r="G68" s="4" t="inlineStr">
        <is>
          <t>물성 시험실(LIMS)</t>
        </is>
      </c>
      <c r="H68" s="4" t="inlineStr">
        <is>
          <t>KS L 5108(비카)</t>
        </is>
      </c>
      <c r="I68" s="4" t="inlineStr">
        <is>
          <t>3종</t>
        </is>
      </c>
      <c r="J68" s="14" t="n">
        <v>60</v>
      </c>
      <c r="K68" s="14" t="n"/>
      <c r="L68" s="4" t="inlineStr">
        <is>
          <t>KS L 5201 포틀랜드 시멘트 (비카 초결 60분 이상)</t>
        </is>
      </c>
      <c r="M68" s="15" t="n">
        <v>120</v>
      </c>
      <c r="N68" s="15" t="n">
        <v>260</v>
      </c>
      <c r="O68" s="15" t="n">
        <v>180</v>
      </c>
      <c r="P68" s="4" t="inlineStr">
        <is>
          <t>경험칙 초기값 — 공장 기준으로 교체 필요</t>
        </is>
      </c>
      <c r="Q68" s="16" t="n"/>
      <c r="R68" s="16" t="n"/>
      <c r="S68" s="16" t="n"/>
      <c r="T68" s="4" t="inlineStr">
        <is>
          <t>R1</t>
        </is>
      </c>
      <c r="U68" s="10" t="inlineStr"/>
      <c r="V68" s="4" t="inlineStr"/>
    </row>
    <row r="69">
      <c r="A69" s="4" t="n">
        <v>68</v>
      </c>
      <c r="B69" s="4" t="inlineStr">
        <is>
          <t>제품 물성</t>
        </is>
      </c>
      <c r="C69" s="4" t="inlineStr">
        <is>
          <t>phy_fst</t>
        </is>
      </c>
      <c r="D69" s="4" t="inlineStr">
        <is>
          <t>종결 시간</t>
        </is>
      </c>
      <c r="E69" s="4" t="inlineStr">
        <is>
          <t>분</t>
        </is>
      </c>
      <c r="F69" s="4" t="inlineStr">
        <is>
          <t>1일</t>
        </is>
      </c>
      <c r="G69" s="4" t="inlineStr">
        <is>
          <t>물성 시험실(LIMS)</t>
        </is>
      </c>
      <c r="H69" s="4" t="inlineStr">
        <is>
          <t>KS L 5108(비카)</t>
        </is>
      </c>
      <c r="I69" s="4" t="inlineStr">
        <is>
          <t>1종</t>
        </is>
      </c>
      <c r="J69" s="14" t="n"/>
      <c r="K69" s="14" t="n">
        <v>600</v>
      </c>
      <c r="L69" s="4" t="inlineStr">
        <is>
          <t>KS L 5201 포틀랜드 시멘트 (종결 10시간 이하)</t>
        </is>
      </c>
      <c r="M69" s="15" t="n"/>
      <c r="N69" s="15" t="n">
        <v>420</v>
      </c>
      <c r="O69" s="15" t="n">
        <v>300</v>
      </c>
      <c r="P69" s="4" t="inlineStr">
        <is>
          <t>경험칙 초기값 — 공장 기준으로 교체 필요</t>
        </is>
      </c>
      <c r="Q69" s="16" t="n"/>
      <c r="R69" s="16" t="n"/>
      <c r="S69" s="16" t="n"/>
      <c r="T69" s="4" t="inlineStr">
        <is>
          <t>R1</t>
        </is>
      </c>
      <c r="U69" s="10" t="inlineStr"/>
      <c r="V69" s="4" t="inlineStr"/>
    </row>
    <row r="70">
      <c r="A70" s="4" t="n">
        <v>69</v>
      </c>
      <c r="B70" s="4" t="inlineStr">
        <is>
          <t>제품 물성</t>
        </is>
      </c>
      <c r="C70" s="4" t="inlineStr">
        <is>
          <t>phy_fst</t>
        </is>
      </c>
      <c r="D70" s="4" t="inlineStr">
        <is>
          <t>종결 시간</t>
        </is>
      </c>
      <c r="E70" s="4" t="inlineStr">
        <is>
          <t>분</t>
        </is>
      </c>
      <c r="F70" s="4" t="inlineStr">
        <is>
          <t>1일</t>
        </is>
      </c>
      <c r="G70" s="4" t="inlineStr">
        <is>
          <t>물성 시험실(LIMS)</t>
        </is>
      </c>
      <c r="H70" s="4" t="inlineStr">
        <is>
          <t>KS L 5108(비카)</t>
        </is>
      </c>
      <c r="I70" s="4" t="inlineStr">
        <is>
          <t>3종</t>
        </is>
      </c>
      <c r="J70" s="14" t="n"/>
      <c r="K70" s="14" t="n">
        <v>600</v>
      </c>
      <c r="L70" s="4" t="inlineStr">
        <is>
          <t>KS L 5201 포틀랜드 시멘트 (종결 10시간 이하)</t>
        </is>
      </c>
      <c r="M70" s="15" t="n"/>
      <c r="N70" s="15" t="n">
        <v>380</v>
      </c>
      <c r="O70" s="15" t="n">
        <v>260</v>
      </c>
      <c r="P70" s="4" t="inlineStr">
        <is>
          <t>경험칙 초기값 — 공장 기준으로 교체 필요</t>
        </is>
      </c>
      <c r="Q70" s="16" t="n"/>
      <c r="R70" s="16" t="n"/>
      <c r="S70" s="16" t="n"/>
      <c r="T70" s="4" t="inlineStr">
        <is>
          <t>R1</t>
        </is>
      </c>
      <c r="U70" s="10" t="inlineStr"/>
      <c r="V70" s="4" t="inlineStr"/>
    </row>
    <row r="71">
      <c r="A71" s="4" t="n">
        <v>70</v>
      </c>
      <c r="B71" s="4" t="inlineStr">
        <is>
          <t>제품 물성</t>
        </is>
      </c>
      <c r="C71" s="4" t="inlineStr">
        <is>
          <t>phy_autoclave</t>
        </is>
      </c>
      <c r="D71" s="4" t="inlineStr">
        <is>
          <t>오토클레이브 팽창도</t>
        </is>
      </c>
      <c r="E71" s="4" t="inlineStr">
        <is>
          <t>%</t>
        </is>
      </c>
      <c r="F71" s="4" t="inlineStr">
        <is>
          <t>1일</t>
        </is>
      </c>
      <c r="G71" s="4" t="inlineStr">
        <is>
          <t>물성 시험실(LIMS)</t>
        </is>
      </c>
      <c r="H71" s="4" t="inlineStr">
        <is>
          <t>KS L 5107(오토클레이브)</t>
        </is>
      </c>
      <c r="I71" s="4" t="inlineStr">
        <is>
          <t>전 품종</t>
        </is>
      </c>
      <c r="J71" s="14" t="n"/>
      <c r="K71" s="14" t="n">
        <v>0.8</v>
      </c>
      <c r="L71" s="4" t="inlineStr">
        <is>
          <t>KS L 5201 포틀랜드 시멘트 (안정도)</t>
        </is>
      </c>
      <c r="M71" s="15" t="n"/>
      <c r="N71" s="15" t="n">
        <v>0.3</v>
      </c>
      <c r="O71" s="15" t="n">
        <v>0.1</v>
      </c>
      <c r="P71" s="4" t="inlineStr">
        <is>
          <t>경험칙 초기값 — 공장 기준으로 교체 필요</t>
        </is>
      </c>
      <c r="Q71" s="16" t="n"/>
      <c r="R71" s="16" t="n"/>
      <c r="S71" s="16" t="n"/>
      <c r="T71" s="4" t="inlineStr">
        <is>
          <t>R1</t>
        </is>
      </c>
      <c r="U71" s="10" t="inlineStr"/>
      <c r="V71" s="4" t="inlineStr"/>
    </row>
    <row r="72">
      <c r="A72" s="4" t="n">
        <v>71</v>
      </c>
      <c r="B72" s="4" t="inlineStr">
        <is>
          <t>제품 물성</t>
        </is>
      </c>
      <c r="C72" s="4" t="inlineStr">
        <is>
          <t>phy_crvi</t>
        </is>
      </c>
      <c r="D72" s="17" t="inlineStr">
        <is>
          <t>시멘트 수용성 6가크롬</t>
        </is>
      </c>
      <c r="E72" s="4" t="inlineStr">
        <is>
          <t>mg/kg</t>
        </is>
      </c>
      <c r="F72" s="4" t="inlineStr">
        <is>
          <t>1일</t>
        </is>
      </c>
      <c r="G72" s="4" t="inlineStr">
        <is>
          <t>물성 시험실(LIMS)</t>
        </is>
      </c>
      <c r="H72" s="4" t="inlineStr">
        <is>
          <t>KS L 5221(수용성 6가크롬)</t>
        </is>
      </c>
      <c r="I72" s="4" t="inlineStr">
        <is>
          <t>전 품종</t>
        </is>
      </c>
      <c r="J72" s="14" t="n"/>
      <c r="K72" s="14" t="n">
        <v>20</v>
      </c>
      <c r="L72" s="4" t="inlineStr">
        <is>
          <t>환경부–시멘트업계 자율협약 20 mg/kg 이하(수용성 Cr⁶⁺, KS L 5221 시험) — 법정 KS 기준 아님, 사내 경고 18</t>
        </is>
      </c>
      <c r="M72" s="15" t="n"/>
      <c r="N72" s="15" t="n">
        <v>18</v>
      </c>
      <c r="O72" s="15" t="n">
        <v>8</v>
      </c>
      <c r="P72" s="4" t="inlineStr">
        <is>
          <t>경험칙 초기값 — 공장 기준으로 교체 필요</t>
        </is>
      </c>
      <c r="Q72" s="16" t="n"/>
      <c r="R72" s="16" t="n"/>
      <c r="S72" s="16" t="n"/>
      <c r="T72" s="4" t="inlineStr">
        <is>
          <t>R1</t>
        </is>
      </c>
      <c r="U72" s="10" t="inlineStr">
        <is>
          <t>●</t>
        </is>
      </c>
      <c r="V72" s="4" t="inlineStr">
        <is>
          <t>환원제 투입 후 제품값. 국내 자율기준 20 mg/kg, EU 2 mg/kg(EN 196-10, 시험법 상이)</t>
        </is>
      </c>
    </row>
    <row r="73">
      <c r="A73" s="4" t="n">
        <v>72</v>
      </c>
      <c r="B73" s="4" t="inlineStr">
        <is>
          <t>제품 물성</t>
        </is>
      </c>
      <c r="C73" s="4" t="inlineStr">
        <is>
          <t>phy_s1</t>
        </is>
      </c>
      <c r="D73" s="4" t="inlineStr">
        <is>
          <t>1일 압축강도</t>
        </is>
      </c>
      <c r="E73" s="4" t="inlineStr">
        <is>
          <t>MPa</t>
        </is>
      </c>
      <c r="F73" s="4" t="inlineStr">
        <is>
          <t>1일</t>
        </is>
      </c>
      <c r="G73" s="4" t="inlineStr">
        <is>
          <t>물성 시험실(LIMS)</t>
        </is>
      </c>
      <c r="H73" s="4" t="inlineStr">
        <is>
          <t>KS L ISO 679</t>
        </is>
      </c>
      <c r="I73" s="4" t="inlineStr">
        <is>
          <t>3종</t>
        </is>
      </c>
      <c r="J73" s="14" t="n">
        <v>10</v>
      </c>
      <c r="K73" s="14" t="n"/>
      <c r="L73" s="4" t="inlineStr">
        <is>
          <t>KS L 5201 포틀랜드 시멘트</t>
        </is>
      </c>
      <c r="M73" s="15" t="n">
        <v>16</v>
      </c>
      <c r="N73" s="15" t="n"/>
      <c r="O73" s="15" t="n">
        <v>20</v>
      </c>
      <c r="P73" s="4" t="inlineStr">
        <is>
          <t>경험칙 초기값 — 공장 기준으로 교체 필요</t>
        </is>
      </c>
      <c r="Q73" s="16" t="n"/>
      <c r="R73" s="16" t="n"/>
      <c r="S73" s="16" t="n"/>
      <c r="T73" s="4" t="inlineStr">
        <is>
          <t>R1, R2, R3, R5, R6</t>
        </is>
      </c>
      <c r="U73" s="10" t="inlineStr"/>
      <c r="V73" s="4" t="inlineStr"/>
    </row>
    <row r="74">
      <c r="A74" s="4" t="n">
        <v>73</v>
      </c>
      <c r="B74" s="4" t="inlineStr">
        <is>
          <t>제품 물성</t>
        </is>
      </c>
      <c r="C74" s="4" t="inlineStr">
        <is>
          <t>phy_s3</t>
        </is>
      </c>
      <c r="D74" s="17" t="inlineStr">
        <is>
          <t>3일 압축강도</t>
        </is>
      </c>
      <c r="E74" s="4" t="inlineStr">
        <is>
          <t>MPa</t>
        </is>
      </c>
      <c r="F74" s="4" t="inlineStr">
        <is>
          <t>1일</t>
        </is>
      </c>
      <c r="G74" s="4" t="inlineStr">
        <is>
          <t>물성 시험실(LIMS)</t>
        </is>
      </c>
      <c r="H74" s="4" t="inlineStr">
        <is>
          <t>KS L ISO 679</t>
        </is>
      </c>
      <c r="I74" s="4" t="inlineStr">
        <is>
          <t>1종</t>
        </is>
      </c>
      <c r="J74" s="14" t="n">
        <v>12.5</v>
      </c>
      <c r="K74" s="14" t="n"/>
      <c r="L74" s="4" t="inlineStr">
        <is>
          <t>KS L 5201 포틀랜드 시멘트</t>
        </is>
      </c>
      <c r="M74" s="15" t="n">
        <v>25</v>
      </c>
      <c r="N74" s="15" t="n"/>
      <c r="O74" s="15" t="n">
        <v>29.5</v>
      </c>
      <c r="P74" s="4" t="inlineStr">
        <is>
          <t>경험칙 초기값 — 공장 기준으로 교체 필요</t>
        </is>
      </c>
      <c r="Q74" s="16" t="n"/>
      <c r="R74" s="16" t="n"/>
      <c r="S74" s="16" t="n"/>
      <c r="T74" s="4" t="inlineStr">
        <is>
          <t>R1, R2, R3, R5, R6</t>
        </is>
      </c>
      <c r="U74" s="10" t="inlineStr">
        <is>
          <t>●</t>
        </is>
      </c>
      <c r="V74" s="4" t="inlineStr"/>
    </row>
    <row r="75">
      <c r="A75" s="4" t="n">
        <v>74</v>
      </c>
      <c r="B75" s="4" t="inlineStr">
        <is>
          <t>제품 물성</t>
        </is>
      </c>
      <c r="C75" s="4" t="inlineStr">
        <is>
          <t>phy_s3</t>
        </is>
      </c>
      <c r="D75" s="17" t="inlineStr">
        <is>
          <t>3일 압축강도</t>
        </is>
      </c>
      <c r="E75" s="4" t="inlineStr">
        <is>
          <t>MPa</t>
        </is>
      </c>
      <c r="F75" s="4" t="inlineStr">
        <is>
          <t>1일</t>
        </is>
      </c>
      <c r="G75" s="4" t="inlineStr">
        <is>
          <t>물성 시험실(LIMS)</t>
        </is>
      </c>
      <c r="H75" s="4" t="inlineStr">
        <is>
          <t>KS L ISO 679</t>
        </is>
      </c>
      <c r="I75" s="4" t="inlineStr">
        <is>
          <t>3종</t>
        </is>
      </c>
      <c r="J75" s="14" t="n">
        <v>20</v>
      </c>
      <c r="K75" s="14" t="n"/>
      <c r="L75" s="4" t="inlineStr">
        <is>
          <t>KS L 5201 포틀랜드 시멘트</t>
        </is>
      </c>
      <c r="M75" s="15" t="n">
        <v>32</v>
      </c>
      <c r="N75" s="15" t="n"/>
      <c r="O75" s="15" t="n">
        <v>37</v>
      </c>
      <c r="P75" s="4" t="inlineStr">
        <is>
          <t>경험칙 초기값 — 공장 기준으로 교체 필요</t>
        </is>
      </c>
      <c r="Q75" s="16" t="n"/>
      <c r="R75" s="16" t="n"/>
      <c r="S75" s="16" t="n"/>
      <c r="T75" s="4" t="inlineStr">
        <is>
          <t>R1, R2, R3, R5, R6</t>
        </is>
      </c>
      <c r="U75" s="10" t="inlineStr">
        <is>
          <t>●</t>
        </is>
      </c>
      <c r="V75" s="4" t="inlineStr"/>
    </row>
    <row r="76">
      <c r="A76" s="4" t="n">
        <v>75</v>
      </c>
      <c r="B76" s="4" t="inlineStr">
        <is>
          <t>제품 물성</t>
        </is>
      </c>
      <c r="C76" s="4" t="inlineStr">
        <is>
          <t>phy_s7</t>
        </is>
      </c>
      <c r="D76" s="17" t="inlineStr">
        <is>
          <t>7일 압축강도</t>
        </is>
      </c>
      <c r="E76" s="4" t="inlineStr">
        <is>
          <t>MPa</t>
        </is>
      </c>
      <c r="F76" s="4" t="inlineStr">
        <is>
          <t>1일</t>
        </is>
      </c>
      <c r="G76" s="4" t="inlineStr">
        <is>
          <t>물성 시험실(LIMS)</t>
        </is>
      </c>
      <c r="H76" s="4" t="inlineStr">
        <is>
          <t>KS L ISO 679</t>
        </is>
      </c>
      <c r="I76" s="4" t="inlineStr">
        <is>
          <t>1종</t>
        </is>
      </c>
      <c r="J76" s="14" t="n">
        <v>22.5</v>
      </c>
      <c r="K76" s="14" t="n"/>
      <c r="L76" s="4" t="inlineStr">
        <is>
          <t>KS L 5201 포틀랜드 시멘트</t>
        </is>
      </c>
      <c r="M76" s="15" t="n">
        <v>36</v>
      </c>
      <c r="N76" s="15" t="n"/>
      <c r="O76" s="15" t="n">
        <v>40</v>
      </c>
      <c r="P76" s="4" t="inlineStr">
        <is>
          <t>경험칙 초기값 — 공장 기준으로 교체 필요</t>
        </is>
      </c>
      <c r="Q76" s="16" t="n"/>
      <c r="R76" s="16" t="n"/>
      <c r="S76" s="16" t="n"/>
      <c r="T76" s="4" t="inlineStr">
        <is>
          <t>R1, R2, R3, R5, R6</t>
        </is>
      </c>
      <c r="U76" s="10" t="inlineStr">
        <is>
          <t>●</t>
        </is>
      </c>
      <c r="V76" s="4" t="inlineStr"/>
    </row>
    <row r="77">
      <c r="A77" s="4" t="n">
        <v>76</v>
      </c>
      <c r="B77" s="4" t="inlineStr">
        <is>
          <t>제품 물성</t>
        </is>
      </c>
      <c r="C77" s="4" t="inlineStr">
        <is>
          <t>phy_s7</t>
        </is>
      </c>
      <c r="D77" s="17" t="inlineStr">
        <is>
          <t>7일 압축강도</t>
        </is>
      </c>
      <c r="E77" s="4" t="inlineStr">
        <is>
          <t>MPa</t>
        </is>
      </c>
      <c r="F77" s="4" t="inlineStr">
        <is>
          <t>1일</t>
        </is>
      </c>
      <c r="G77" s="4" t="inlineStr">
        <is>
          <t>물성 시험실(LIMS)</t>
        </is>
      </c>
      <c r="H77" s="4" t="inlineStr">
        <is>
          <t>KS L ISO 679</t>
        </is>
      </c>
      <c r="I77" s="4" t="inlineStr">
        <is>
          <t>3종</t>
        </is>
      </c>
      <c r="J77" s="14" t="n">
        <v>32.5</v>
      </c>
      <c r="K77" s="14" t="n"/>
      <c r="L77" s="4" t="inlineStr">
        <is>
          <t>KS L 5201 포틀랜드 시멘트</t>
        </is>
      </c>
      <c r="M77" s="15" t="n">
        <v>42</v>
      </c>
      <c r="N77" s="15" t="n"/>
      <c r="O77" s="15" t="n">
        <v>46</v>
      </c>
      <c r="P77" s="4" t="inlineStr">
        <is>
          <t>경험칙 초기값 — 공장 기준으로 교체 필요</t>
        </is>
      </c>
      <c r="Q77" s="16" t="n"/>
      <c r="R77" s="16" t="n"/>
      <c r="S77" s="16" t="n"/>
      <c r="T77" s="4" t="inlineStr">
        <is>
          <t>R1, R2, R3, R5, R6</t>
        </is>
      </c>
      <c r="U77" s="10" t="inlineStr">
        <is>
          <t>●</t>
        </is>
      </c>
      <c r="V77" s="4" t="inlineStr"/>
    </row>
    <row r="78">
      <c r="A78" s="4" t="n">
        <v>77</v>
      </c>
      <c r="B78" s="4" t="inlineStr">
        <is>
          <t>제품 물성</t>
        </is>
      </c>
      <c r="C78" s="4" t="inlineStr">
        <is>
          <t>phy_s28</t>
        </is>
      </c>
      <c r="D78" s="17" t="inlineStr">
        <is>
          <t>28일 압축강도</t>
        </is>
      </c>
      <c r="E78" s="4" t="inlineStr">
        <is>
          <t>MPa</t>
        </is>
      </c>
      <c r="F78" s="4" t="inlineStr">
        <is>
          <t>1일</t>
        </is>
      </c>
      <c r="G78" s="4" t="inlineStr">
        <is>
          <t>물성 시험실(LIMS)</t>
        </is>
      </c>
      <c r="H78" s="4" t="inlineStr">
        <is>
          <t>KS L ISO 679</t>
        </is>
      </c>
      <c r="I78" s="4" t="inlineStr">
        <is>
          <t>1종</t>
        </is>
      </c>
      <c r="J78" s="14" t="n">
        <v>42.5</v>
      </c>
      <c r="K78" s="14" t="n"/>
      <c r="L78" s="4" t="inlineStr">
        <is>
          <t>KS L 5201 포틀랜드 시멘트</t>
        </is>
      </c>
      <c r="M78" s="15" t="n">
        <v>48</v>
      </c>
      <c r="N78" s="15" t="n"/>
      <c r="O78" s="15" t="n">
        <v>53</v>
      </c>
      <c r="P78" s="4" t="inlineStr">
        <is>
          <t>경험칙 초기값 — 공장 기준으로 교체 필요</t>
        </is>
      </c>
      <c r="Q78" s="16" t="n"/>
      <c r="R78" s="16" t="n"/>
      <c r="S78" s="16" t="n"/>
      <c r="T78" s="4" t="inlineStr">
        <is>
          <t>R1, R2, R3, R5, R6</t>
        </is>
      </c>
      <c r="U78" s="10" t="inlineStr">
        <is>
          <t>●</t>
        </is>
      </c>
      <c r="V78" s="4" t="inlineStr"/>
    </row>
    <row r="79">
      <c r="A79" s="4" t="n">
        <v>78</v>
      </c>
      <c r="B79" s="4" t="inlineStr">
        <is>
          <t>제품 물성</t>
        </is>
      </c>
      <c r="C79" s="4" t="inlineStr">
        <is>
          <t>phy_s28</t>
        </is>
      </c>
      <c r="D79" s="17" t="inlineStr">
        <is>
          <t>28일 압축강도</t>
        </is>
      </c>
      <c r="E79" s="4" t="inlineStr">
        <is>
          <t>MPa</t>
        </is>
      </c>
      <c r="F79" s="4" t="inlineStr">
        <is>
          <t>1일</t>
        </is>
      </c>
      <c r="G79" s="4" t="inlineStr">
        <is>
          <t>물성 시험실(LIMS)</t>
        </is>
      </c>
      <c r="H79" s="4" t="inlineStr">
        <is>
          <t>KS L ISO 679</t>
        </is>
      </c>
      <c r="I79" s="4" t="inlineStr">
        <is>
          <t>3종</t>
        </is>
      </c>
      <c r="J79" s="14" t="n">
        <v>47.5</v>
      </c>
      <c r="K79" s="14" t="n"/>
      <c r="L79" s="4" t="inlineStr">
        <is>
          <t>KS L 5201 포틀랜드 시멘트</t>
        </is>
      </c>
      <c r="M79" s="15" t="n">
        <v>54</v>
      </c>
      <c r="N79" s="15" t="n"/>
      <c r="O79" s="15" t="n">
        <v>59</v>
      </c>
      <c r="P79" s="4" t="inlineStr">
        <is>
          <t>경험칙 초기값 — 공장 기준으로 교체 필요</t>
        </is>
      </c>
      <c r="Q79" s="16" t="n"/>
      <c r="R79" s="16" t="n"/>
      <c r="S79" s="16" t="n"/>
      <c r="T79" s="4" t="inlineStr">
        <is>
          <t>R1, R2, R3, R5, R6</t>
        </is>
      </c>
      <c r="U79" s="10" t="inlineStr">
        <is>
          <t>●</t>
        </is>
      </c>
      <c r="V79" s="4" t="inlineStr"/>
    </row>
    <row r="80">
      <c r="A80" s="4" t="n">
        <v>79</v>
      </c>
      <c r="B80" s="4" t="inlineStr">
        <is>
          <t>제품 물성</t>
        </is>
      </c>
      <c r="C80" s="4" t="inlineStr">
        <is>
          <t>pred_s28</t>
        </is>
      </c>
      <c r="D80" s="17" t="inlineStr">
        <is>
          <t>28일 강도(예측)</t>
        </is>
      </c>
      <c r="E80" s="4" t="inlineStr">
        <is>
          <t>MPa</t>
        </is>
      </c>
      <c r="F80" s="4" t="inlineStr">
        <is>
          <t>1일</t>
        </is>
      </c>
      <c r="G80" s="4" t="inlineStr">
        <is>
          <t>물성 시험실(LIMS)</t>
        </is>
      </c>
      <c r="H80" s="4" t="inlineStr">
        <is>
          <t>-</t>
        </is>
      </c>
      <c r="I80" s="4" t="inlineStr">
        <is>
          <t>1종</t>
        </is>
      </c>
      <c r="J80" s="14" t="n">
        <v>42.5</v>
      </c>
      <c r="K80" s="14" t="n"/>
      <c r="L80" s="4" t="inlineStr">
        <is>
          <t>KS L 5201 포틀랜드 시멘트 (예측값 — 실측 확인 필요)</t>
        </is>
      </c>
      <c r="M80" s="15" t="n">
        <v>48</v>
      </c>
      <c r="N80" s="15" t="n"/>
      <c r="O80" s="15" t="n">
        <v>53</v>
      </c>
      <c r="P80" s="4" t="inlineStr">
        <is>
          <t>경험칙 초기값 — 공장 기준으로 교체 필요</t>
        </is>
      </c>
      <c r="Q80" s="16" t="n"/>
      <c r="R80" s="16" t="n"/>
      <c r="S80" s="16" t="n"/>
      <c r="T80" s="4" t="inlineStr">
        <is>
          <t>-</t>
        </is>
      </c>
      <c r="U80" s="10" t="inlineStr">
        <is>
          <t>●</t>
        </is>
      </c>
      <c r="V80" s="4" t="inlineStr">
        <is>
          <t>조기 강도·화학 성분으로 회귀 예측. 28일 결과 전 조기 경보용</t>
        </is>
      </c>
    </row>
    <row r="81">
      <c r="A81" s="4" t="n">
        <v>80</v>
      </c>
      <c r="B81" s="4" t="inlineStr">
        <is>
          <t>제품 물성</t>
        </is>
      </c>
      <c r="C81" s="4" t="inlineStr">
        <is>
          <t>pred_s28</t>
        </is>
      </c>
      <c r="D81" s="17" t="inlineStr">
        <is>
          <t>28일 강도(예측)</t>
        </is>
      </c>
      <c r="E81" s="4" t="inlineStr">
        <is>
          <t>MPa</t>
        </is>
      </c>
      <c r="F81" s="4" t="inlineStr">
        <is>
          <t>1일</t>
        </is>
      </c>
      <c r="G81" s="4" t="inlineStr">
        <is>
          <t>물성 시험실(LIMS)</t>
        </is>
      </c>
      <c r="H81" s="4" t="inlineStr">
        <is>
          <t>-</t>
        </is>
      </c>
      <c r="I81" s="4" t="inlineStr">
        <is>
          <t>3종</t>
        </is>
      </c>
      <c r="J81" s="14" t="n">
        <v>47.5</v>
      </c>
      <c r="K81" s="14" t="n"/>
      <c r="L81" s="4" t="inlineStr">
        <is>
          <t>KS L 5201 포틀랜드 시멘트 (예측값 — 실측 확인 필요)</t>
        </is>
      </c>
      <c r="M81" s="15" t="n">
        <v>54</v>
      </c>
      <c r="N81" s="15" t="n"/>
      <c r="O81" s="15" t="n">
        <v>59</v>
      </c>
      <c r="P81" s="4" t="inlineStr">
        <is>
          <t>경험칙 초기값 — 공장 기준으로 교체 필요</t>
        </is>
      </c>
      <c r="Q81" s="16" t="n"/>
      <c r="R81" s="16" t="n"/>
      <c r="S81" s="16" t="n"/>
      <c r="T81" s="4" t="inlineStr">
        <is>
          <t>-</t>
        </is>
      </c>
      <c r="U81" s="10" t="inlineStr">
        <is>
          <t>●</t>
        </is>
      </c>
      <c r="V81" s="4" t="inlineStr">
        <is>
          <t>조기 강도·화학 성분으로 회귀 예측. 28일 결과 전 조기 경보용</t>
        </is>
      </c>
    </row>
    <row r="82">
      <c r="A82" s="4" t="n">
        <v>81</v>
      </c>
      <c r="B82" s="4" t="inlineStr">
        <is>
          <t>시험 조건</t>
        </is>
      </c>
      <c r="C82" s="4" t="inlineStr">
        <is>
          <t>lab_temp</t>
        </is>
      </c>
      <c r="D82" s="4" t="inlineStr">
        <is>
          <t>시험실 온도</t>
        </is>
      </c>
      <c r="E82" s="4" t="inlineStr">
        <is>
          <t>℃</t>
        </is>
      </c>
      <c r="F82" s="4" t="inlineStr">
        <is>
          <t>1일</t>
        </is>
      </c>
      <c r="G82" s="4" t="inlineStr">
        <is>
          <t>물성 시험실(LIMS)</t>
        </is>
      </c>
      <c r="H82" s="4" t="inlineStr">
        <is>
          <t>KS L ISO 679</t>
        </is>
      </c>
      <c r="I82" s="4" t="inlineStr">
        <is>
          <t>전 품종</t>
        </is>
      </c>
      <c r="J82" s="14" t="n">
        <v>18</v>
      </c>
      <c r="K82" s="14" t="n">
        <v>22</v>
      </c>
      <c r="L82" s="4" t="inlineStr">
        <is>
          <t>KS L ISO 679 강도 시험방법(ISO 679 시험조건) 20±2℃</t>
        </is>
      </c>
      <c r="M82" s="15" t="n"/>
      <c r="N82" s="15" t="n"/>
      <c r="O82" s="15" t="n">
        <v>20</v>
      </c>
      <c r="P82" s="4" t="inlineStr">
        <is>
          <t>경험칙 초기값 — 공장 기준으로 교체 필요</t>
        </is>
      </c>
      <c r="Q82" s="16" t="n"/>
      <c r="R82" s="16" t="n"/>
      <c r="S82" s="16" t="n"/>
      <c r="T82" s="4" t="inlineStr">
        <is>
          <t>-</t>
        </is>
      </c>
      <c r="U82" s="10" t="inlineStr"/>
      <c r="V82" s="4" t="inlineStr"/>
    </row>
    <row r="83">
      <c r="A83" s="4" t="n">
        <v>82</v>
      </c>
      <c r="B83" s="4" t="inlineStr">
        <is>
          <t>시험 조건</t>
        </is>
      </c>
      <c r="C83" s="4" t="inlineStr">
        <is>
          <t>lab_rh</t>
        </is>
      </c>
      <c r="D83" s="4" t="inlineStr">
        <is>
          <t>시험실 상대습도</t>
        </is>
      </c>
      <c r="E83" s="4" t="inlineStr">
        <is>
          <t>%</t>
        </is>
      </c>
      <c r="F83" s="4" t="inlineStr">
        <is>
          <t>1일</t>
        </is>
      </c>
      <c r="G83" s="4" t="inlineStr">
        <is>
          <t>물성 시험실(LIMS)</t>
        </is>
      </c>
      <c r="H83" s="4" t="inlineStr">
        <is>
          <t>KS L ISO 679</t>
        </is>
      </c>
      <c r="I83" s="4" t="inlineStr">
        <is>
          <t>전 품종</t>
        </is>
      </c>
      <c r="J83" s="14" t="n">
        <v>50</v>
      </c>
      <c r="K83" s="14" t="n"/>
      <c r="L83" s="4" t="inlineStr">
        <is>
          <t>KS L ISO 679 강도 시험방법(ISO 679 시험조건) 50% 이상</t>
        </is>
      </c>
      <c r="M83" s="15" t="n"/>
      <c r="N83" s="15" t="n"/>
      <c r="O83" s="15" t="n"/>
      <c r="P83" s="4" t="inlineStr">
        <is>
          <t>경험칙 초기값 — 공장 기준으로 교체 필요</t>
        </is>
      </c>
      <c r="Q83" s="16" t="n"/>
      <c r="R83" s="16" t="n"/>
      <c r="S83" s="16" t="n"/>
      <c r="T83" s="4" t="inlineStr">
        <is>
          <t>-</t>
        </is>
      </c>
      <c r="U83" s="10" t="inlineStr"/>
      <c r="V83" s="4" t="inlineStr"/>
    </row>
    <row r="84">
      <c r="A84" s="4" t="n">
        <v>83</v>
      </c>
      <c r="B84" s="4" t="inlineStr">
        <is>
          <t>시험 조건</t>
        </is>
      </c>
      <c r="C84" s="4" t="inlineStr">
        <is>
          <t>lab_cure_temp</t>
        </is>
      </c>
      <c r="D84" s="4" t="inlineStr">
        <is>
          <t>양생수 온도</t>
        </is>
      </c>
      <c r="E84" s="4" t="inlineStr">
        <is>
          <t>℃</t>
        </is>
      </c>
      <c r="F84" s="4" t="inlineStr">
        <is>
          <t>1일</t>
        </is>
      </c>
      <c r="G84" s="4" t="inlineStr">
        <is>
          <t>물성 시험실(LIMS)</t>
        </is>
      </c>
      <c r="H84" s="4" t="inlineStr">
        <is>
          <t>KS L ISO 679</t>
        </is>
      </c>
      <c r="I84" s="4" t="inlineStr">
        <is>
          <t>전 품종</t>
        </is>
      </c>
      <c r="J84" s="14" t="n">
        <v>19</v>
      </c>
      <c r="K84" s="14" t="n">
        <v>21</v>
      </c>
      <c r="L84" s="4" t="inlineStr">
        <is>
          <t>KS L ISO 679 강도 시험방법(ISO 679 시험조건) 20±1℃</t>
        </is>
      </c>
      <c r="M84" s="15" t="n"/>
      <c r="N84" s="15" t="n"/>
      <c r="O84" s="15" t="n">
        <v>20</v>
      </c>
      <c r="P84" s="4" t="inlineStr">
        <is>
          <t>경험칙 초기값 — 공장 기준으로 교체 필요</t>
        </is>
      </c>
      <c r="Q84" s="16" t="n"/>
      <c r="R84" s="16" t="n"/>
      <c r="S84" s="16" t="n"/>
      <c r="T84" s="4" t="inlineStr">
        <is>
          <t>-</t>
        </is>
      </c>
      <c r="U84" s="10" t="inlineStr"/>
      <c r="V84" s="4" t="inlineStr"/>
    </row>
  </sheetData>
  <autoFilter ref="A1:V84"/>
  <dataValidations count="1">
    <dataValidation sqref="Q2:S84" showDropDown="0" showInputMessage="0" showErrorMessage="0" allowBlank="1" errorTitle="입력 오류" error="숫자만 입력하세요(단위 제외)." type="decimal" operator="between">
      <formula1>-100000</formula1>
      <formula2>100000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zoomScale="90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46" customWidth="1" min="3" max="3"/>
    <col width="24" customWidth="1" min="4" max="4"/>
    <col width="18" customWidth="1" min="5" max="5"/>
    <col width="22" customWidth="1" min="6" max="6"/>
  </cols>
  <sheetData>
    <row r="1" ht="30" customHeight="1">
      <c r="A1" s="9" t="inlineStr">
        <is>
          <t>심각도</t>
        </is>
      </c>
      <c r="B1" s="9" t="inlineStr">
        <is>
          <t>판정 조건</t>
        </is>
      </c>
      <c r="C1" s="9" t="inlineStr">
        <is>
          <t>예시</t>
        </is>
      </c>
      <c r="D1" s="9" t="inlineStr">
        <is>
          <t>통보 대상(제안)</t>
        </is>
      </c>
      <c r="E1" s="9" t="inlineStr">
        <is>
          <t>대응 기한(제안)</t>
        </is>
      </c>
      <c r="F1" s="9" t="inlineStr">
        <is>
          <t>발송</t>
        </is>
      </c>
    </row>
    <row r="2" ht="44" customHeight="1">
      <c r="A2" s="4" t="inlineStr">
        <is>
          <t>🔴 위험</t>
        </is>
      </c>
      <c r="B2" s="4" t="inlineStr">
        <is>
          <t>제품 항목이 KS L 5201 규격을 벗어남</t>
        </is>
      </c>
      <c r="C2" s="4" t="inlineStr">
        <is>
          <t>시멘트 SO₃ 3.5% 초과(1종), 28일 강도 42.5 MPa 미만</t>
        </is>
      </c>
      <c r="D2" s="4" t="inlineStr">
        <is>
          <t>품질팀장·생산팀장·공장장</t>
        </is>
      </c>
      <c r="E2" s="4" t="inlineStr">
        <is>
          <t>즉시(1시간 내) 출하 판정</t>
        </is>
      </c>
      <c r="F2" s="4" t="inlineStr">
        <is>
          <t>메일+메신저 즉시</t>
        </is>
      </c>
    </row>
    <row r="3" ht="44" customHeight="1">
      <c r="A3" s="4" t="inlineStr">
        <is>
          <t>🟠 경고</t>
        </is>
      </c>
      <c r="B3" s="4" t="inlineStr">
        <is>
          <t>사내 관리기준 이탈 / 시험조건(KS L ISO 679) 이탈 / 28일 예측치 사내기준 미달</t>
        </is>
      </c>
      <c r="C3" s="4" t="inlineStr">
        <is>
          <t>f-CaO 1.8% 초과, 분말도 3,250 미만, 양생수 19~21 ℃ 이탈</t>
        </is>
      </c>
      <c r="D3" s="4" t="inlineStr">
        <is>
          <t>품질 담당·해당 공정 담당</t>
        </is>
      </c>
      <c r="E3" s="4" t="inlineStr">
        <is>
          <t>당일(8시간 내) 원인 조사</t>
        </is>
      </c>
      <c r="F3" s="4" t="inlineStr">
        <is>
          <t>메일+메신저</t>
        </is>
      </c>
    </row>
    <row r="4" ht="44" customHeight="1">
      <c r="A4" s="4" t="inlineStr">
        <is>
          <t>🟡 주의</t>
        </is>
      </c>
      <c r="B4" s="4" t="inlineStr">
        <is>
          <t>규격 이내이나 SPC 판정규칙 위반(8시간 평균 기준 R1·R2·R3 등)</t>
        </is>
      </c>
      <c r="C4" s="4" t="inlineStr">
        <is>
          <t>원료 LSF 9연속 중심선 위(평균 이동)</t>
        </is>
      </c>
      <c r="D4" s="4" t="inlineStr">
        <is>
          <t>품질 담당</t>
        </is>
      </c>
      <c r="E4" s="4" t="inlineStr">
        <is>
          <t>3일 내 점검</t>
        </is>
      </c>
      <c r="F4" s="4" t="inlineStr">
        <is>
          <t>대시보드 표시(기본 미발송)</t>
        </is>
      </c>
    </row>
    <row r="5" ht="44" customHeight="1">
      <c r="A5" s="4" t="inlineStr">
        <is>
          <t>공통</t>
        </is>
      </c>
      <c r="B5" s="4" t="inlineStr">
        <is>
          <t>같은 항목·품종에서 12시간 이내(물성 3일 이내) 이어지는 위반점은 1건으로 묶음. 규격 이탈과 겹치는 SPC 패턴은 '동반 패턴'으로 기록</t>
        </is>
      </c>
      <c r="C5" s="4" t="inlineStr">
        <is>
          <t>알림 피로도 감소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</row>
    <row r="6" ht="44" customHeight="1">
      <c r="A6" s="4" t="inlineStr">
        <is>
          <t>예측</t>
        </is>
      </c>
      <c r="B6" s="4" t="inlineStr">
        <is>
          <t>예측값은 실측이 아니므로 최고 심각도를 '경고'로 제한</t>
        </is>
      </c>
      <c r="C6" s="4" t="inlineStr">
        <is>
          <t>28일 강도 예측 46 MPa → 경고(예측)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="9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6" customWidth="1" min="3" max="3"/>
    <col width="36" customWidth="1" min="4" max="4"/>
  </cols>
  <sheetData>
    <row r="1" ht="30" customHeight="1">
      <c r="A1" s="9" t="inlineStr">
        <is>
          <t>코드</t>
        </is>
      </c>
      <c r="B1" s="9" t="inlineStr">
        <is>
          <t>규칙</t>
        </is>
      </c>
      <c r="C1" s="9" t="inlineStr">
        <is>
          <t>의미</t>
        </is>
      </c>
      <c r="D1" s="9" t="inlineStr">
        <is>
          <t>기본 적용</t>
        </is>
      </c>
    </row>
    <row r="2">
      <c r="A2" s="10" t="inlineStr">
        <is>
          <t>R1</t>
        </is>
      </c>
      <c r="B2" s="4" t="inlineStr">
        <is>
          <t>관리한계(±3σ) 이탈</t>
        </is>
      </c>
      <c r="C2" s="4" t="inlineStr">
        <is>
          <t>돌발 이상(한 점이 관리한계 밖)</t>
        </is>
      </c>
      <c r="D2" s="4" t="inlineStr">
        <is>
          <t>활성(기본)</t>
        </is>
      </c>
    </row>
    <row r="3">
      <c r="A3" s="10" t="inlineStr">
        <is>
          <t>R2</t>
        </is>
      </c>
      <c r="B3" s="4" t="inlineStr">
        <is>
          <t>중심선 한쪽 연속 9점(평균 이동)</t>
        </is>
      </c>
      <c r="C3" s="4" t="inlineStr">
        <is>
          <t>공정 평균의 이동(shift)</t>
        </is>
      </c>
      <c r="D3" s="4" t="inlineStr">
        <is>
          <t>활성(기본)</t>
        </is>
      </c>
    </row>
    <row r="4">
      <c r="A4" s="10" t="inlineStr">
        <is>
          <t>R3</t>
        </is>
      </c>
      <c r="B4" s="4" t="inlineStr">
        <is>
          <t>연속 6점 상승/하강(추세)</t>
        </is>
      </c>
      <c r="C4" s="4" t="inlineStr">
        <is>
          <t>점진적 추세(drift)</t>
        </is>
      </c>
      <c r="D4" s="4" t="inlineStr">
        <is>
          <t>활성(기본)</t>
        </is>
      </c>
    </row>
    <row r="5">
      <c r="A5" s="10" t="inlineStr">
        <is>
          <t>R5</t>
        </is>
      </c>
      <c r="B5" s="4" t="inlineStr">
        <is>
          <t>3점 중 2점 ±2σ 밖(같은 쪽)</t>
        </is>
      </c>
      <c r="C5" s="4" t="inlineStr">
        <is>
          <t>중간 크기의 평균 이동 조기 감지</t>
        </is>
      </c>
      <c r="D5" s="4" t="inlineStr">
        <is>
          <t>선택(설정 화면에서 활성화)</t>
        </is>
      </c>
    </row>
    <row r="6">
      <c r="A6" s="10" t="inlineStr">
        <is>
          <t>R6</t>
        </is>
      </c>
      <c r="B6" s="4" t="inlineStr">
        <is>
          <t>5점 중 4점 ±1σ 밖(같은 쪽)</t>
        </is>
      </c>
      <c r="C6" s="4" t="inlineStr">
        <is>
          <t>작은 평균 이동 감지(허위경보 증가 주의)</t>
        </is>
      </c>
      <c r="D6" s="4" t="inlineStr">
        <is>
          <t>선택(설정 화면에서 활성화)</t>
        </is>
      </c>
    </row>
    <row r="8">
      <c r="A8" s="2" t="inlineStr">
        <is>
          <t>※ 관리한계: 기준기간(기본 데이터 시작 30일) 평균 ± 3σ, σ = 기준기간 표준편차(자기상관 고려), 기준기간 내 3σ 밖 점은 1회 제외</t>
        </is>
      </c>
    </row>
    <row r="9">
      <c r="A9" s="2" t="inlineStr">
        <is>
          <t>※ 2시간·1시간 데이터는 8시간(근무조) 평균에 판정규칙 적용 — 원 데이터에 런 규칙을 적용하면 허위 경보 과다</t>
        </is>
      </c>
    </row>
    <row r="10">
      <c r="A10" s="2" t="inlineStr">
        <is>
          <t>※ 규격·관리기준 이탈은 개별 측정값 기준으로 판정</t>
        </is>
      </c>
    </row>
    <row r="11">
      <c r="A11" s="2" t="inlineStr">
        <is>
          <t>※ 공정능력: Cpk = 군내변동(MR̄/1.128), Ppk = 전체 표준편차 — 관용 기준 1.33 이상 충분, 1.0 미만 개선 필요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1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26" customWidth="1" min="3" max="3"/>
    <col width="50" customWidth="1" min="4" max="4"/>
    <col width="30" customWidth="1" min="5" max="5"/>
    <col width="44" customWidth="1" min="6" max="6"/>
    <col width="36" customWidth="1" min="7" max="7"/>
    <col width="36" customWidth="1" min="8" max="8"/>
    <col width="11" customWidth="1" min="9" max="9"/>
    <col width="13" customWidth="1" min="10" max="10"/>
    <col width="9" customWidth="1" min="11" max="11"/>
  </cols>
  <sheetData>
    <row r="1" ht="30" customHeight="1">
      <c r="A1" s="9" t="inlineStr">
        <is>
          <t>현상(항목·방향)</t>
        </is>
      </c>
      <c r="B1" s="9" t="inlineStr">
        <is>
          <t>축</t>
        </is>
      </c>
      <c r="C1" s="9" t="inlineStr">
        <is>
          <t>원인 가설</t>
        </is>
      </c>
      <c r="D1" s="9" t="inlineStr">
        <is>
          <t>메커니즘</t>
        </is>
      </c>
      <c r="E1" s="9" t="inlineStr">
        <is>
          <t>자동 평가 데이터</t>
        </is>
      </c>
      <c r="F1" s="9" t="inlineStr">
        <is>
          <t>확인 방법(데이터·시험)</t>
        </is>
      </c>
      <c r="G1" s="9" t="inlineStr">
        <is>
          <t>단기 조치</t>
        </is>
      </c>
      <c r="H1" s="9" t="inlineStr">
        <is>
          <t>근본 대책</t>
        </is>
      </c>
      <c r="I1" s="9" t="inlineStr">
        <is>
          <t>근거 수준</t>
        </is>
      </c>
      <c r="J1" s="9" t="inlineStr">
        <is>
          <t>담당(제안)</t>
        </is>
      </c>
      <c r="K1" s="9" t="inlineStr">
        <is>
          <t>사전 가중치</t>
        </is>
      </c>
    </row>
    <row r="2">
      <c r="A2" s="4" t="inlineStr">
        <is>
          <t>28일 압축강도 저하</t>
        </is>
      </c>
      <c r="B2" s="4" t="inlineStr">
        <is>
          <t>공정</t>
        </is>
      </c>
      <c r="C2" s="4" t="inlineStr">
        <is>
          <t>분말도 저하·입도분포 조대화(분쇄 공정)</t>
        </is>
      </c>
      <c r="D2" s="4" t="inlineStr">
        <is>
          <t>분말도는 수화 반응 표면적을 결정하며 특히 조기강도에 민감하다. 경험칙: Blaine 100 cm²/g 당 28일 강도 약 0.5~1 MPa.</t>
        </is>
      </c>
      <c r="E2" s="4" t="inlineStr">
        <is>
          <t>시멘트 분말도(Blaine)↓, 시멘트 45μm 잔사↑</t>
        </is>
      </c>
      <c r="F2" s="4" t="inlineStr">
        <is>
          <t>Blaine·45μm 잔사 재측정 / 레이저 입도분석(PSD, RRSB 균등계수 n) / 밀 운전 데이터(세퍼레이터 rpm·순환부하·투입량)</t>
        </is>
      </c>
      <c r="G2" s="4" t="inlineStr">
        <is>
          <t>세퍼레이터 속도 상향·밀 투입량 감량으로 분말도 회복 / 분말도 미달 구간 제품 출하 보류·재시험</t>
        </is>
      </c>
      <c r="H2" s="4" t="inlineStr">
        <is>
          <t>분쇄 매체 충진율·마모 정기 관리 / 세퍼레이터 정비 주기 수립 / 분말도 자동제어(온라인 PSD 분석기) 도입 검토</t>
        </is>
      </c>
      <c r="I2" s="4" t="inlineStr">
        <is>
          <t>이론+경험칙</t>
        </is>
      </c>
      <c r="J2" s="4" t="inlineStr">
        <is>
          <t>생산(분쇄)</t>
        </is>
      </c>
      <c r="K2" s="4" t="n">
        <v>0.9</v>
      </c>
    </row>
    <row r="3">
      <c r="A3" s="4" t="inlineStr">
        <is>
          <t>28일 압축강도 저하</t>
        </is>
      </c>
      <c r="B3" s="4" t="inlineStr">
        <is>
          <t>공정</t>
        </is>
      </c>
      <c r="C3" s="4" t="inlineStr">
        <is>
          <t>소성 부족(소성대 온도·열량 부족)</t>
        </is>
      </c>
      <c r="D3" s="4" t="inlineStr">
        <is>
          <t>소성대 온도·체류시간 부족 시 C₂S + CaO → C₃S 반응이 완결되지 않아 f-CaO↑, C₃S↓, 클링커가 다공질(리터중량↓)이 된다. 그 결과 강도가 저하된다.</t>
        </is>
      </c>
      <c r="E3" s="4" t="inlineStr">
        <is>
          <t>클링커 자유석회(f-CaO)↑, 소성대 온도(파이로미터)↓, 클링커 리터중량↓, 2차 공기 온도↓</t>
        </is>
      </c>
      <c r="F3" s="4" t="inlineStr">
        <is>
          <t>킬른 운전 추이(소성대 온도·주모터 부하·2차 공기 온도) 확인 / 시간대별 f-CaO·리터중량 대조 / 석탄 공업분석(발열량·회분·휘발분·수분)</t>
        </is>
      </c>
      <c r="G3" s="4" t="inlineStr">
        <is>
          <t>f-CaO 기준 초과 클링커 분리 저장 또는 혼합 비율 제한 / 소성 강화(연료·버너 조정) 및 원료 투입량 일시 감량</t>
        </is>
      </c>
      <c r="H3" s="4" t="inlineStr">
        <is>
          <t>석탄 입고 품질 기준(발열량 하한) 및 혼탄 관리 / f-CaO 기반 소성 피드백 운전 기준서 수립 / 버너 화염 형상 점검·개선</t>
        </is>
      </c>
      <c r="I3" s="4" t="inlineStr">
        <is>
          <t>이론+경험칙</t>
        </is>
      </c>
      <c r="J3" s="4" t="inlineStr">
        <is>
          <t>생산(소성)</t>
        </is>
      </c>
      <c r="K3" s="4" t="n">
        <v>1</v>
      </c>
    </row>
    <row r="4">
      <c r="A4" s="4" t="inlineStr">
        <is>
          <t>28일 압축강도 저하</t>
        </is>
      </c>
      <c r="B4" s="4" t="inlineStr">
        <is>
          <t>화학</t>
        </is>
      </c>
      <c r="C4" s="4" t="inlineStr">
        <is>
          <t>클링커 C₃S 저하(광물 조성 변화)</t>
        </is>
      </c>
      <c r="D4" s="4" t="inlineStr">
        <is>
          <t>C₃S(알라이트)는 3~28일 강도의 주 기여 광물이다. 경험칙: C₃S 1%p 감소 시 28일 강도 약 0.3~0.5 MPa 감소(공장별 상이 — 자체 회귀분석으로 확인 필요).</t>
        </is>
      </c>
      <c r="E4" s="4" t="inlineStr">
        <is>
          <t>클링커 C₃S(Bogue)↓, 클링커 LSF↓</t>
        </is>
      </c>
      <c r="F4" s="4" t="inlineStr">
        <is>
          <t>해당 기간 클링커 XRF 재분석·Bogue C₃S 확인 / XRD-Rietveld 정량으로 C₃S/C₂S 실측(Bogue와 편차 확인) / 클링커 현미경 관찰(알라이트 크기·형태, 벨라이트 군집)</t>
        </is>
      </c>
      <c r="G4" s="4" t="inlineStr">
        <is>
          <t>분말도 상향(+100~150 cm²/g)으로 강도 보상(밀 생산성 저하 감수) / 해당 클링커 사용 제품의 3·7일 강도 추적 강화</t>
        </is>
      </c>
      <c r="H4" s="4" t="inlineStr">
        <is>
          <t>원료 LSF 목표·변동(σ) 관리 강화 / 소성 운전 기준(소성대 온도·O₂·f-CaO 피드백) 표준화</t>
        </is>
      </c>
      <c r="I4" s="4" t="inlineStr">
        <is>
          <t>이론+경험칙</t>
        </is>
      </c>
      <c r="J4" s="4" t="inlineStr">
        <is>
          <t>품질</t>
        </is>
      </c>
      <c r="K4" s="4" t="n">
        <v>1</v>
      </c>
    </row>
    <row r="5">
      <c r="A5" s="4" t="inlineStr">
        <is>
          <t>28일 압축강도 저하</t>
        </is>
      </c>
      <c r="B5" s="4" t="inlineStr">
        <is>
          <t>화학</t>
        </is>
      </c>
      <c r="C5" s="4" t="inlineStr">
        <is>
          <t>SO₃(석고) 최적치 이탈</t>
        </is>
      </c>
      <c r="D5" s="4" t="inlineStr">
        <is>
          <t>SO₃가 최적치에서 벗어나면 C₃A 수화 제어가 부적절해져 강도가 저하된다. 과다 시 응결 지연·지연 팽창 위험, 부족 시 급결·조기강도 저하.</t>
        </is>
      </c>
      <c r="E5" s="4" t="inlineStr">
        <is>
          <t>시멘트 SO₃ 목표편차↑</t>
        </is>
      </c>
      <c r="F5" s="4" t="inlineStr">
        <is>
          <t>SO₃ 재분석(XRF ↔ 중량법 KS L 5120 교차) / 석고 정량공급기 실적(설정 대비 실제) / SO₃ 수준별 모르타르 강도 최적화 시험</t>
        </is>
      </c>
      <c r="G5" s="4" t="inlineStr">
        <is>
          <t>석고 투입 설정 복귀 및 공급기 점검 / SO₃ 이탈 구간 제품 분리·추가 시험</t>
        </is>
      </c>
      <c r="H5" s="4" t="inlineStr">
        <is>
          <t>석고 공급기 정기 교정·막힘 감지 알람 / 품종별 최적 SO₃ 정기 재설정(분기 1회)</t>
        </is>
      </c>
      <c r="I5" s="4" t="inlineStr">
        <is>
          <t>이론+경험칙</t>
        </is>
      </c>
      <c r="J5" s="4" t="inlineStr">
        <is>
          <t>생산(분쇄)</t>
        </is>
      </c>
      <c r="K5" s="4" t="n">
        <v>0.7</v>
      </c>
    </row>
    <row r="6">
      <c r="A6" s="4" t="inlineStr">
        <is>
          <t>28일 압축강도 저하</t>
        </is>
      </c>
      <c r="B6" s="4" t="inlineStr">
        <is>
          <t>시험오차</t>
        </is>
      </c>
      <c r="C6" s="4" t="inlineStr">
        <is>
          <t>28일 강도 시험 조건 이탈·시험 오차</t>
        </is>
      </c>
      <c r="D6" s="4" t="inlineStr">
        <is>
          <t>강도는 양생 온도(20±1 ℃)·시험실 조건·공시체 성형·재하 속도에 민감하다(KS L ISO 679). 조기강도와 화학 성분이 정상인데 특정 재령만 낮으면 시험오차 가능성이 높다.</t>
        </is>
      </c>
      <c r="E6" s="4" t="inlineStr">
        <is>
          <t>28일 실측−조기강도 예측 잔차↓, 양생수 온도 기준 이탈, 시험실 온도 기준 이탈, 시험실 상대습도 기준 이탈, sand_lot 변경</t>
        </is>
      </c>
      <c r="F6" s="4" t="inlineStr">
        <is>
          <t>양생수조 온도 기록 확인 / 예비 공시체 재시험 또는 보관 시료 재성형 / 재하 속도(2,400±200 N/s) 및 시험기 교정 상태 확인 / 표준사 Lot·성형자 변경 여부 확인</t>
        </is>
      </c>
      <c r="G6" s="4" t="inlineStr">
        <is>
          <t>해당 로트 결과 보류 후 재시험으로 확정 / 양생수조 온도 제어기 점검·수리</t>
        </is>
      </c>
      <c r="H6" s="4" t="inlineStr">
        <is>
          <t>양생조 온도 자동기록·이탈 알람(±1 ℃) / 시험자 간 비교시험(숙련도) 정기 실시 / 시험기 정기 교정 관리</t>
        </is>
      </c>
      <c r="I6" s="4" t="inlineStr">
        <is>
          <t>규격+경험칙</t>
        </is>
      </c>
      <c r="J6" s="4" t="inlineStr">
        <is>
          <t>품질(시험실)</t>
        </is>
      </c>
      <c r="K6" s="4" t="n">
        <v>0.8</v>
      </c>
    </row>
    <row r="7">
      <c r="A7" s="4" t="inlineStr">
        <is>
          <t>28일 압축강도 저하</t>
        </is>
      </c>
      <c r="B7" s="4" t="inlineStr">
        <is>
          <t>원료</t>
        </is>
      </c>
      <c r="C7" s="4" t="inlineStr">
        <is>
          <t>원료 화학 변동 증가(LSF 변동성)</t>
        </is>
      </c>
      <c r="D7" s="4" t="inlineStr">
        <is>
          <t>원료 LSF 변동이 크면 과소성·소성부족 구간이 혼재해 클링커 품질 편차가 커지고 평균 강도가 낮아진다.</t>
        </is>
      </c>
      <c r="E7" s="4" t="inlineStr">
        <is>
          <t>원료 LSF 변동↑, 클링커 LSF 변동↑</t>
        </is>
      </c>
      <c r="F7" s="4" t="inlineStr">
        <is>
          <t>원료 LSF 시간대별 표준편차 확인 / 혼합사일로 레벨·혼합효과(입·출 σ 비) 확인</t>
        </is>
      </c>
      <c r="G7" s="4" t="inlineStr">
        <is>
          <t>원료 조합 제어 게인·샘플링 주기 점검</t>
        </is>
      </c>
      <c r="H7" s="4" t="inlineStr">
        <is>
          <t>원료 예비균질화(파일링) 운영 개선 / 원료밀 조합제어(XRF 온라인 피드백) 고도화</t>
        </is>
      </c>
      <c r="I7" s="4" t="inlineStr">
        <is>
          <t>경험칙</t>
        </is>
      </c>
      <c r="J7" s="4" t="inlineStr">
        <is>
          <t>생산(원료)</t>
        </is>
      </c>
      <c r="K7" s="4" t="n">
        <v>0.5</v>
      </c>
    </row>
    <row r="8">
      <c r="A8" s="4" t="inlineStr">
        <is>
          <t>28일 압축강도 저하</t>
        </is>
      </c>
      <c r="B8" s="4" t="inlineStr">
        <is>
          <t>원료</t>
        </is>
      </c>
      <c r="C8" s="4" t="inlineStr">
        <is>
          <t>혼합재(석회석) 과다·클링커 풍화</t>
        </is>
      </c>
      <c r="D8" s="4" t="inlineStr">
        <is>
          <t>소량혼합성분(석회석) 증가 시 희석효과로 강도가 낮아진다. 강열감량 상승은 클링커 풍화(prehydration)·석고 결정수 영향일 수도 있다.</t>
        </is>
      </c>
      <c r="E8" s="4" t="inlineStr">
        <is>
          <t>시멘트 강열감량↑</t>
        </is>
      </c>
      <c r="F8" s="4" t="inlineStr">
        <is>
          <t>LOI·CO₂ 분석으로 석회석 혼입률 추정 / 혼합재 정량공급기 실적 확인 / 클링커 저장기간·야적 여부 확인</t>
        </is>
      </c>
      <c r="G8" s="4" t="inlineStr">
        <is>
          <t>혼합재 투입률 설정 복귀</t>
        </is>
      </c>
      <c r="H8" s="4" t="inlineStr">
        <is>
          <t>혼합재 투입 자동제어·실적 모니터링 / 클링커 저장 관리(선입선출·야적 최소화)</t>
        </is>
      </c>
      <c r="I8" s="4" t="inlineStr">
        <is>
          <t>경험칙</t>
        </is>
      </c>
      <c r="J8" s="4" t="inlineStr">
        <is>
          <t>생산(분쇄)</t>
        </is>
      </c>
      <c r="K8" s="4" t="n">
        <v>0.5</v>
      </c>
    </row>
    <row r="9">
      <c r="A9" s="4" t="inlineStr">
        <is>
          <t>28일 압축강도 저하</t>
        </is>
      </c>
      <c r="B9" s="4" t="inlineStr">
        <is>
          <t>설비</t>
        </is>
      </c>
      <c r="C9" s="4" t="inlineStr">
        <is>
          <t>클링커 냉각 불량(냉각기)</t>
        </is>
      </c>
      <c r="D9" s="4" t="inlineStr">
        <is>
          <t>서랭 시 C₃S 분해·벨라이트 조대화·C₃A 결정화로 반응성이 낮아질 수 있다. 2차 공기 온도 저하는 냉각기 열회수 이상의 신호.</t>
        </is>
      </c>
      <c r="E9" s="4" t="inlineStr">
        <is>
          <t>2차 공기 온도↓</t>
        </is>
      </c>
      <c r="F9" s="4" t="inlineStr">
        <is>
          <t>냉각기 그레이트 속도·냉각 팬 풍량 확인 / 냉각기 출구 클링커 온도 확인 / 클링커 현미경 관찰(알라이트 분해 흔적)</t>
        </is>
      </c>
      <c r="G9" s="4" t="inlineStr">
        <is>
          <t>냉각기 운전 조건(그레이트 속도·풍량) 조정</t>
        </is>
      </c>
      <c r="H9" s="4" t="inlineStr">
        <is>
          <t>냉각기 정비(그레이트 플레이트·팬) 계획 반영</t>
        </is>
      </c>
      <c r="I9" s="4" t="inlineStr">
        <is>
          <t>문헌+경험칙</t>
        </is>
      </c>
      <c r="J9" s="4" t="inlineStr">
        <is>
          <t>설비</t>
        </is>
      </c>
      <c r="K9" s="4" t="n">
        <v>0.35</v>
      </c>
    </row>
    <row r="10">
      <c r="A10" s="4" t="inlineStr">
        <is>
          <t>28일 압축강도 저하</t>
        </is>
      </c>
      <c r="B10" s="4" t="inlineStr">
        <is>
          <t>화학</t>
        </is>
      </c>
      <c r="C10" s="4" t="inlineStr">
        <is>
          <t>알칼리 증가(후기강도 저하)</t>
        </is>
      </c>
      <c r="D10" s="4" t="inlineStr">
        <is>
          <t>알칼리(Na₂Oeq) 증가는 조기강도를 높이지만 28일 이후 강도 발현을 저해하는 경향이 있다(문헌·경험칙).</t>
        </is>
      </c>
      <c r="E10" s="4" t="inlineStr">
        <is>
          <t>클링커 등가알칼리↑</t>
        </is>
      </c>
      <c r="F10" s="4" t="inlineStr">
        <is>
          <t>클링커·시멘트 K₂O/Na₂O 분석 / 원료·연료 알칼리 투입량(바이패스 운전 여부) 확인</t>
        </is>
      </c>
      <c r="G10" s="4" t="inlineStr">
        <is>
          <t>바이패스 추기량 조정(설비 보유 시)</t>
        </is>
      </c>
      <c r="H10" s="4" t="inlineStr">
        <is>
          <t>원료·대체연료 알칼리 투입 관리 기준 수립</t>
        </is>
      </c>
      <c r="I10" s="4" t="inlineStr">
        <is>
          <t>문헌+경험칙</t>
        </is>
      </c>
      <c r="J10" s="4" t="inlineStr">
        <is>
          <t>품질</t>
        </is>
      </c>
      <c r="K10" s="4" t="n">
        <v>0.4</v>
      </c>
    </row>
    <row r="11">
      <c r="A11" s="4" t="inlineStr">
        <is>
          <t>7일 압축강도 저하</t>
        </is>
      </c>
      <c r="B11" s="4" t="inlineStr">
        <is>
          <t>공정</t>
        </is>
      </c>
      <c r="C11" s="4" t="inlineStr">
        <is>
          <t>분말도 저하·입도분포 조대화(분쇄 공정)</t>
        </is>
      </c>
      <c r="D11" s="4" t="inlineStr">
        <is>
          <t>분말도는 수화 반응 표면적을 결정하며 특히 조기강도에 민감하다. 경험칙: Blaine 100 cm²/g 당 3일 강도 약 1~1.5 MPa.</t>
        </is>
      </c>
      <c r="E11" s="4" t="inlineStr">
        <is>
          <t>시멘트 분말도(Blaine)↓, 시멘트 45μm 잔사↑</t>
        </is>
      </c>
      <c r="F11" s="4" t="inlineStr">
        <is>
          <t>Blaine·45μm 잔사 재측정 / 레이저 입도분석(PSD, RRSB 균등계수 n) / 밀 운전 데이터(세퍼레이터 rpm·순환부하·투입량)</t>
        </is>
      </c>
      <c r="G11" s="4" t="inlineStr">
        <is>
          <t>세퍼레이터 속도 상향·밀 투입량 감량으로 분말도 회복 / 분말도 미달 구간 제품 출하 보류·재시험</t>
        </is>
      </c>
      <c r="H11" s="4" t="inlineStr">
        <is>
          <t>분쇄 매체 충진율·마모 정기 관리 / 세퍼레이터 정비 주기 수립 / 분말도 자동제어(온라인 PSD 분석기) 도입 검토</t>
        </is>
      </c>
      <c r="I11" s="4" t="inlineStr">
        <is>
          <t>이론+경험칙</t>
        </is>
      </c>
      <c r="J11" s="4" t="inlineStr">
        <is>
          <t>생산(분쇄)</t>
        </is>
      </c>
      <c r="K11" s="4" t="n">
        <v>1.3</v>
      </c>
    </row>
    <row r="12">
      <c r="A12" s="4" t="inlineStr">
        <is>
          <t>7일 압축강도 저하</t>
        </is>
      </c>
      <c r="B12" s="4" t="inlineStr">
        <is>
          <t>공정</t>
        </is>
      </c>
      <c r="C12" s="4" t="inlineStr">
        <is>
          <t>소성 부족(소성대 온도·열량 부족)</t>
        </is>
      </c>
      <c r="D12" s="4" t="inlineStr">
        <is>
          <t>소성대 온도·체류시간 부족 시 C₂S + CaO → C₃S 반응이 완결되지 않아 f-CaO↑, C₃S↓, 클링커가 다공질(리터중량↓)이 된다. 그 결과 강도가 저하된다.</t>
        </is>
      </c>
      <c r="E12" s="4" t="inlineStr">
        <is>
          <t>클링커 자유석회(f-CaO)↑, 소성대 온도(파이로미터)↓, 클링커 리터중량↓, 2차 공기 온도↓</t>
        </is>
      </c>
      <c r="F12" s="4" t="inlineStr">
        <is>
          <t>킬른 운전 추이(소성대 온도·주모터 부하·2차 공기 온도) 확인 / 시간대별 f-CaO·리터중량 대조 / 석탄 공업분석(발열량·회분·휘발분·수분)</t>
        </is>
      </c>
      <c r="G12" s="4" t="inlineStr">
        <is>
          <t>f-CaO 기준 초과 클링커 분리 저장 또는 혼합 비율 제한 / 소성 강화(연료·버너 조정) 및 원료 투입량 일시 감량</t>
        </is>
      </c>
      <c r="H12" s="4" t="inlineStr">
        <is>
          <t>석탄 입고 품질 기준(발열량 하한) 및 혼탄 관리 / f-CaO 기반 소성 피드백 운전 기준서 수립 / 버너 화염 형상 점검·개선</t>
        </is>
      </c>
      <c r="I12" s="4" t="inlineStr">
        <is>
          <t>이론+경험칙</t>
        </is>
      </c>
      <c r="J12" s="4" t="inlineStr">
        <is>
          <t>생산(소성)</t>
        </is>
      </c>
      <c r="K12" s="4" t="n">
        <v>1</v>
      </c>
    </row>
    <row r="13">
      <c r="A13" s="4" t="inlineStr">
        <is>
          <t>7일 압축강도 저하</t>
        </is>
      </c>
      <c r="B13" s="4" t="inlineStr">
        <is>
          <t>화학</t>
        </is>
      </c>
      <c r="C13" s="4" t="inlineStr">
        <is>
          <t>클링커 C₃S 저하(광물 조성 변화)</t>
        </is>
      </c>
      <c r="D13" s="4" t="inlineStr">
        <is>
          <t>C₃S(알라이트)는 3~28일 강도의 주 기여 광물이다. 경험칙: C₃S 1%p 감소 시 28일 강도 약 0.3~0.5 MPa 감소(공장별 상이 — 자체 회귀분석으로 확인 필요).</t>
        </is>
      </c>
      <c r="E13" s="4" t="inlineStr">
        <is>
          <t>클링커 C₃S(Bogue)↓, 클링커 LSF↓</t>
        </is>
      </c>
      <c r="F13" s="4" t="inlineStr">
        <is>
          <t>해당 기간 클링커 XRF 재분석·Bogue C₃S 확인 / XRD-Rietveld 정량으로 C₃S/C₂S 실측(Bogue와 편차 확인) / 클링커 현미경 관찰(알라이트 크기·형태, 벨라이트 군집)</t>
        </is>
      </c>
      <c r="G13" s="4" t="inlineStr">
        <is>
          <t>분말도 상향(+100~150 cm²/g)으로 강도 보상(밀 생산성 저하 감수) / 해당 클링커 사용 제품의 3·7일 강도 추적 강화</t>
        </is>
      </c>
      <c r="H13" s="4" t="inlineStr">
        <is>
          <t>원료 LSF 목표·변동(σ) 관리 강화 / 소성 운전 기준(소성대 온도·O₂·f-CaO 피드백) 표준화</t>
        </is>
      </c>
      <c r="I13" s="4" t="inlineStr">
        <is>
          <t>이론+경험칙</t>
        </is>
      </c>
      <c r="J13" s="4" t="inlineStr">
        <is>
          <t>품질</t>
        </is>
      </c>
      <c r="K13" s="4" t="n">
        <v>1</v>
      </c>
    </row>
    <row r="14">
      <c r="A14" s="4" t="inlineStr">
        <is>
          <t>7일 압축강도 저하</t>
        </is>
      </c>
      <c r="B14" s="4" t="inlineStr">
        <is>
          <t>화학</t>
        </is>
      </c>
      <c r="C14" s="4" t="inlineStr">
        <is>
          <t>SO₃(석고) 최적치 이탈</t>
        </is>
      </c>
      <c r="D14" s="4" t="inlineStr">
        <is>
          <t>SO₃가 최적치에서 벗어나면 C₃A 수화 제어가 부적절해져 강도가 저하된다. 과다 시 응결 지연·지연 팽창 위험, 부족 시 급결·조기강도 저하.</t>
        </is>
      </c>
      <c r="E14" s="4" t="inlineStr">
        <is>
          <t>시멘트 SO₃ 목표편차↑</t>
        </is>
      </c>
      <c r="F14" s="4" t="inlineStr">
        <is>
          <t>SO₃ 재분석(XRF ↔ 중량법 KS L 5120 교차) / 석고 정량공급기 실적(설정 대비 실제) / SO₃ 수준별 모르타르 강도 최적화 시험</t>
        </is>
      </c>
      <c r="G14" s="4" t="inlineStr">
        <is>
          <t>석고 투입 설정 복귀 및 공급기 점검 / SO₃ 이탈 구간 제품 분리·추가 시험</t>
        </is>
      </c>
      <c r="H14" s="4" t="inlineStr">
        <is>
          <t>석고 공급기 정기 교정·막힘 감지 알람 / 품종별 최적 SO₃ 정기 재설정(분기 1회)</t>
        </is>
      </c>
      <c r="I14" s="4" t="inlineStr">
        <is>
          <t>이론+경험칙</t>
        </is>
      </c>
      <c r="J14" s="4" t="inlineStr">
        <is>
          <t>생산(분쇄)</t>
        </is>
      </c>
      <c r="K14" s="4" t="n">
        <v>0.9</v>
      </c>
    </row>
    <row r="15">
      <c r="A15" s="4" t="inlineStr">
        <is>
          <t>7일 압축강도 저하</t>
        </is>
      </c>
      <c r="B15" s="4" t="inlineStr">
        <is>
          <t>시험오차</t>
        </is>
      </c>
      <c r="C15" s="4" t="inlineStr">
        <is>
          <t>7일 강도 시험 조건 이탈·시험 오차</t>
        </is>
      </c>
      <c r="D15" s="4" t="inlineStr">
        <is>
          <t>강도는 양생 온도(20±1 ℃)·시험실 조건·공시체 성형·재하 속도에 민감하다(KS L ISO 679). 조기강도와 화학 성분이 정상인데 특정 재령만 낮으면 시험오차 가능성이 높다.</t>
        </is>
      </c>
      <c r="E15" s="4" t="inlineStr">
        <is>
          <t>양생수 온도 기준 이탈, 시험실 온도 기준 이탈, 시험실 상대습도 기준 이탈, sand_lot 변경</t>
        </is>
      </c>
      <c r="F15" s="4" t="inlineStr">
        <is>
          <t>양생수조 온도 기록 확인 / 예비 공시체 재시험 또는 보관 시료 재성형 / 재하 속도(2,400±200 N/s) 및 시험기 교정 상태 확인 / 표준사 Lot·성형자 변경 여부 확인</t>
        </is>
      </c>
      <c r="G15" s="4" t="inlineStr">
        <is>
          <t>해당 로트 결과 보류 후 재시험으로 확정 / 양생수조 온도 제어기 점검·수리</t>
        </is>
      </c>
      <c r="H15" s="4" t="inlineStr">
        <is>
          <t>양생조 온도 자동기록·이탈 알람(±1 ℃) / 시험자 간 비교시험(숙련도) 정기 실시 / 시험기 정기 교정 관리</t>
        </is>
      </c>
      <c r="I15" s="4" t="inlineStr">
        <is>
          <t>규격+경험칙</t>
        </is>
      </c>
      <c r="J15" s="4" t="inlineStr">
        <is>
          <t>품질(시험실)</t>
        </is>
      </c>
      <c r="K15" s="4" t="n">
        <v>0.8</v>
      </c>
    </row>
    <row r="16">
      <c r="A16" s="4" t="inlineStr">
        <is>
          <t>7일 압축강도 저하</t>
        </is>
      </c>
      <c r="B16" s="4" t="inlineStr">
        <is>
          <t>원료</t>
        </is>
      </c>
      <c r="C16" s="4" t="inlineStr">
        <is>
          <t>원료 화학 변동 증가(LSF 변동성)</t>
        </is>
      </c>
      <c r="D16" s="4" t="inlineStr">
        <is>
          <t>원료 LSF 변동이 크면 과소성·소성부족 구간이 혼재해 클링커 품질 편차가 커지고 평균 강도가 낮아진다.</t>
        </is>
      </c>
      <c r="E16" s="4" t="inlineStr">
        <is>
          <t>원료 LSF 변동↑, 클링커 LSF 변동↑</t>
        </is>
      </c>
      <c r="F16" s="4" t="inlineStr">
        <is>
          <t>원료 LSF 시간대별 표준편차 확인 / 혼합사일로 레벨·혼합효과(입·출 σ 비) 확인</t>
        </is>
      </c>
      <c r="G16" s="4" t="inlineStr">
        <is>
          <t>원료 조합 제어 게인·샘플링 주기 점검</t>
        </is>
      </c>
      <c r="H16" s="4" t="inlineStr">
        <is>
          <t>원료 예비균질화(파일링) 운영 개선 / 원료밀 조합제어(XRF 온라인 피드백) 고도화</t>
        </is>
      </c>
      <c r="I16" s="4" t="inlineStr">
        <is>
          <t>경험칙</t>
        </is>
      </c>
      <c r="J16" s="4" t="inlineStr">
        <is>
          <t>생산(원료)</t>
        </is>
      </c>
      <c r="K16" s="4" t="n">
        <v>0.5</v>
      </c>
    </row>
    <row r="17">
      <c r="A17" s="4" t="inlineStr">
        <is>
          <t>7일 압축강도 저하</t>
        </is>
      </c>
      <c r="B17" s="4" t="inlineStr">
        <is>
          <t>원료</t>
        </is>
      </c>
      <c r="C17" s="4" t="inlineStr">
        <is>
          <t>혼합재(석회석) 과다·클링커 풍화</t>
        </is>
      </c>
      <c r="D17" s="4" t="inlineStr">
        <is>
          <t>소량혼합성분(석회석) 증가 시 희석효과로 강도가 낮아진다. 강열감량 상승은 클링커 풍화(prehydration)·석고 결정수 영향일 수도 있다.</t>
        </is>
      </c>
      <c r="E17" s="4" t="inlineStr">
        <is>
          <t>시멘트 강열감량↑</t>
        </is>
      </c>
      <c r="F17" s="4" t="inlineStr">
        <is>
          <t>LOI·CO₂ 분석으로 석회석 혼입률 추정 / 혼합재 정량공급기 실적 확인 / 클링커 저장기간·야적 여부 확인</t>
        </is>
      </c>
      <c r="G17" s="4" t="inlineStr">
        <is>
          <t>혼합재 투입률 설정 복귀</t>
        </is>
      </c>
      <c r="H17" s="4" t="inlineStr">
        <is>
          <t>혼합재 투입 자동제어·실적 모니터링 / 클링커 저장 관리(선입선출·야적 최소화)</t>
        </is>
      </c>
      <c r="I17" s="4" t="inlineStr">
        <is>
          <t>경험칙</t>
        </is>
      </c>
      <c r="J17" s="4" t="inlineStr">
        <is>
          <t>생산(분쇄)</t>
        </is>
      </c>
      <c r="K17" s="4" t="n">
        <v>0.5</v>
      </c>
    </row>
    <row r="18">
      <c r="A18" s="4" t="inlineStr">
        <is>
          <t>7일 압축강도 저하</t>
        </is>
      </c>
      <c r="B18" s="4" t="inlineStr">
        <is>
          <t>설비</t>
        </is>
      </c>
      <c r="C18" s="4" t="inlineStr">
        <is>
          <t>클링커 냉각 불량(냉각기)</t>
        </is>
      </c>
      <c r="D18" s="4" t="inlineStr">
        <is>
          <t>서랭 시 C₃S 분해·벨라이트 조대화·C₃A 결정화로 반응성이 낮아질 수 있다. 2차 공기 온도 저하는 냉각기 열회수 이상의 신호.</t>
        </is>
      </c>
      <c r="E18" s="4" t="inlineStr">
        <is>
          <t>2차 공기 온도↓</t>
        </is>
      </c>
      <c r="F18" s="4" t="inlineStr">
        <is>
          <t>냉각기 그레이트 속도·냉각 팬 풍량 확인 / 냉각기 출구 클링커 온도 확인 / 클링커 현미경 관찰(알라이트 분해 흔적)</t>
        </is>
      </c>
      <c r="G18" s="4" t="inlineStr">
        <is>
          <t>냉각기 운전 조건(그레이트 속도·풍량) 조정</t>
        </is>
      </c>
      <c r="H18" s="4" t="inlineStr">
        <is>
          <t>냉각기 정비(그레이트 플레이트·팬) 계획 반영</t>
        </is>
      </c>
      <c r="I18" s="4" t="inlineStr">
        <is>
          <t>문헌+경험칙</t>
        </is>
      </c>
      <c r="J18" s="4" t="inlineStr">
        <is>
          <t>설비</t>
        </is>
      </c>
      <c r="K18" s="4" t="n">
        <v>0.35</v>
      </c>
    </row>
    <row r="19">
      <c r="A19" s="4" t="inlineStr">
        <is>
          <t>3일 압축강도 저하</t>
        </is>
      </c>
      <c r="B19" s="4" t="inlineStr">
        <is>
          <t>공정</t>
        </is>
      </c>
      <c r="C19" s="4" t="inlineStr">
        <is>
          <t>분말도 저하·입도분포 조대화(분쇄 공정)</t>
        </is>
      </c>
      <c r="D19" s="4" t="inlineStr">
        <is>
          <t>분말도는 수화 반응 표면적을 결정하며 특히 조기강도에 민감하다. 경험칙: Blaine 100 cm²/g 당 3일 강도 약 1~1.5 MPa.</t>
        </is>
      </c>
      <c r="E19" s="4" t="inlineStr">
        <is>
          <t>시멘트 분말도(Blaine)↓, 시멘트 45μm 잔사↑</t>
        </is>
      </c>
      <c r="F19" s="4" t="inlineStr">
        <is>
          <t>Blaine·45μm 잔사 재측정 / 레이저 입도분석(PSD, RRSB 균등계수 n) / 밀 운전 데이터(세퍼레이터 rpm·순환부하·투입량)</t>
        </is>
      </c>
      <c r="G19" s="4" t="inlineStr">
        <is>
          <t>세퍼레이터 속도 상향·밀 투입량 감량으로 분말도 회복 / 분말도 미달 구간 제품 출하 보류·재시험</t>
        </is>
      </c>
      <c r="H19" s="4" t="inlineStr">
        <is>
          <t>분쇄 매체 충진율·마모 정기 관리 / 세퍼레이터 정비 주기 수립 / 분말도 자동제어(온라인 PSD 분석기) 도입 검토</t>
        </is>
      </c>
      <c r="I19" s="4" t="inlineStr">
        <is>
          <t>이론+경험칙</t>
        </is>
      </c>
      <c r="J19" s="4" t="inlineStr">
        <is>
          <t>생산(분쇄)</t>
        </is>
      </c>
      <c r="K19" s="4" t="n">
        <v>1.3</v>
      </c>
    </row>
    <row r="20">
      <c r="A20" s="4" t="inlineStr">
        <is>
          <t>3일 압축강도 저하</t>
        </is>
      </c>
      <c r="B20" s="4" t="inlineStr">
        <is>
          <t>공정</t>
        </is>
      </c>
      <c r="C20" s="4" t="inlineStr">
        <is>
          <t>소성 부족(소성대 온도·열량 부족)</t>
        </is>
      </c>
      <c r="D20" s="4" t="inlineStr">
        <is>
          <t>소성대 온도·체류시간 부족 시 C₂S + CaO → C₃S 반응이 완결되지 않아 f-CaO↑, C₃S↓, 클링커가 다공질(리터중량↓)이 된다. 그 결과 강도가 저하된다.</t>
        </is>
      </c>
      <c r="E20" s="4" t="inlineStr">
        <is>
          <t>클링커 자유석회(f-CaO)↑, 소성대 온도(파이로미터)↓, 클링커 리터중량↓, 2차 공기 온도↓</t>
        </is>
      </c>
      <c r="F20" s="4" t="inlineStr">
        <is>
          <t>킬른 운전 추이(소성대 온도·주모터 부하·2차 공기 온도) 확인 / 시간대별 f-CaO·리터중량 대조 / 석탄 공업분석(발열량·회분·휘발분·수분)</t>
        </is>
      </c>
      <c r="G20" s="4" t="inlineStr">
        <is>
          <t>f-CaO 기준 초과 클링커 분리 저장 또는 혼합 비율 제한 / 소성 강화(연료·버너 조정) 및 원료 투입량 일시 감량</t>
        </is>
      </c>
      <c r="H20" s="4" t="inlineStr">
        <is>
          <t>석탄 입고 품질 기준(발열량 하한) 및 혼탄 관리 / f-CaO 기반 소성 피드백 운전 기준서 수립 / 버너 화염 형상 점검·개선</t>
        </is>
      </c>
      <c r="I20" s="4" t="inlineStr">
        <is>
          <t>이론+경험칙</t>
        </is>
      </c>
      <c r="J20" s="4" t="inlineStr">
        <is>
          <t>생산(소성)</t>
        </is>
      </c>
      <c r="K20" s="4" t="n">
        <v>1</v>
      </c>
    </row>
    <row r="21">
      <c r="A21" s="4" t="inlineStr">
        <is>
          <t>3일 압축강도 저하</t>
        </is>
      </c>
      <c r="B21" s="4" t="inlineStr">
        <is>
          <t>화학</t>
        </is>
      </c>
      <c r="C21" s="4" t="inlineStr">
        <is>
          <t>클링커 C₃S 저하(광물 조성 변화)</t>
        </is>
      </c>
      <c r="D21" s="4" t="inlineStr">
        <is>
          <t>C₃S(알라이트)는 3~28일 강도의 주 기여 광물이다. 경험칙: C₃S 1%p 감소 시 28일 강도 약 0.3~0.5 MPa 감소(공장별 상이 — 자체 회귀분석으로 확인 필요).</t>
        </is>
      </c>
      <c r="E21" s="4" t="inlineStr">
        <is>
          <t>클링커 C₃S(Bogue)↓, 클링커 LSF↓</t>
        </is>
      </c>
      <c r="F21" s="4" t="inlineStr">
        <is>
          <t>해당 기간 클링커 XRF 재분석·Bogue C₃S 확인 / XRD-Rietveld 정량으로 C₃S/C₂S 실측(Bogue와 편차 확인) / 클링커 현미경 관찰(알라이트 크기·형태, 벨라이트 군집)</t>
        </is>
      </c>
      <c r="G21" s="4" t="inlineStr">
        <is>
          <t>분말도 상향(+100~150 cm²/g)으로 강도 보상(밀 생산성 저하 감수) / 해당 클링커 사용 제품의 3·7일 강도 추적 강화</t>
        </is>
      </c>
      <c r="H21" s="4" t="inlineStr">
        <is>
          <t>원료 LSF 목표·변동(σ) 관리 강화 / 소성 운전 기준(소성대 온도·O₂·f-CaO 피드백) 표준화</t>
        </is>
      </c>
      <c r="I21" s="4" t="inlineStr">
        <is>
          <t>이론+경험칙</t>
        </is>
      </c>
      <c r="J21" s="4" t="inlineStr">
        <is>
          <t>품질</t>
        </is>
      </c>
      <c r="K21" s="4" t="n">
        <v>1</v>
      </c>
    </row>
    <row r="22">
      <c r="A22" s="4" t="inlineStr">
        <is>
          <t>3일 압축강도 저하</t>
        </is>
      </c>
      <c r="B22" s="4" t="inlineStr">
        <is>
          <t>화학</t>
        </is>
      </c>
      <c r="C22" s="4" t="inlineStr">
        <is>
          <t>SO₃(석고) 최적치 이탈</t>
        </is>
      </c>
      <c r="D22" s="4" t="inlineStr">
        <is>
          <t>SO₃가 최적치에서 벗어나면 C₃A 수화 제어가 부적절해져 강도가 저하된다. 과다 시 응결 지연·지연 팽창 위험, 부족 시 급결·조기강도 저하.</t>
        </is>
      </c>
      <c r="E22" s="4" t="inlineStr">
        <is>
          <t>시멘트 SO₃ 목표편차↑</t>
        </is>
      </c>
      <c r="F22" s="4" t="inlineStr">
        <is>
          <t>SO₃ 재분석(XRF ↔ 중량법 KS L 5120 교차) / 석고 정량공급기 실적(설정 대비 실제) / SO₃ 수준별 모르타르 강도 최적화 시험</t>
        </is>
      </c>
      <c r="G22" s="4" t="inlineStr">
        <is>
          <t>석고 투입 설정 복귀 및 공급기 점검 / SO₃ 이탈 구간 제품 분리·추가 시험</t>
        </is>
      </c>
      <c r="H22" s="4" t="inlineStr">
        <is>
          <t>석고 공급기 정기 교정·막힘 감지 알람 / 품종별 최적 SO₃ 정기 재설정(분기 1회)</t>
        </is>
      </c>
      <c r="I22" s="4" t="inlineStr">
        <is>
          <t>이론+경험칙</t>
        </is>
      </c>
      <c r="J22" s="4" t="inlineStr">
        <is>
          <t>생산(분쇄)</t>
        </is>
      </c>
      <c r="K22" s="4" t="n">
        <v>0.9</v>
      </c>
    </row>
    <row r="23">
      <c r="A23" s="4" t="inlineStr">
        <is>
          <t>3일 압축강도 저하</t>
        </is>
      </c>
      <c r="B23" s="4" t="inlineStr">
        <is>
          <t>시험오차</t>
        </is>
      </c>
      <c r="C23" s="4" t="inlineStr">
        <is>
          <t>3일 강도 시험 조건 이탈·시험 오차</t>
        </is>
      </c>
      <c r="D23" s="4" t="inlineStr">
        <is>
          <t>강도는 양생 온도(20±1 ℃)·시험실 조건·공시체 성형·재하 속도에 민감하다(KS L ISO 679). 조기강도와 화학 성분이 정상인데 특정 재령만 낮으면 시험오차 가능성이 높다.</t>
        </is>
      </c>
      <c r="E23" s="4" t="inlineStr">
        <is>
          <t>양생수 온도 기준 이탈, 시험실 온도 기준 이탈, 시험실 상대습도 기준 이탈, sand_lot 변경</t>
        </is>
      </c>
      <c r="F23" s="4" t="inlineStr">
        <is>
          <t>양생수조 온도 기록 확인 / 예비 공시체 재시험 또는 보관 시료 재성형 / 재하 속도(2,400±200 N/s) 및 시험기 교정 상태 확인 / 표준사 Lot·성형자 변경 여부 확인</t>
        </is>
      </c>
      <c r="G23" s="4" t="inlineStr">
        <is>
          <t>해당 로트 결과 보류 후 재시험으로 확정 / 양생수조 온도 제어기 점검·수리</t>
        </is>
      </c>
      <c r="H23" s="4" t="inlineStr">
        <is>
          <t>양생조 온도 자동기록·이탈 알람(±1 ℃) / 시험자 간 비교시험(숙련도) 정기 실시 / 시험기 정기 교정 관리</t>
        </is>
      </c>
      <c r="I23" s="4" t="inlineStr">
        <is>
          <t>규격+경험칙</t>
        </is>
      </c>
      <c r="J23" s="4" t="inlineStr">
        <is>
          <t>품질(시험실)</t>
        </is>
      </c>
      <c r="K23" s="4" t="n">
        <v>0.8</v>
      </c>
    </row>
    <row r="24">
      <c r="A24" s="4" t="inlineStr">
        <is>
          <t>3일 압축강도 저하</t>
        </is>
      </c>
      <c r="B24" s="4" t="inlineStr">
        <is>
          <t>원료</t>
        </is>
      </c>
      <c r="C24" s="4" t="inlineStr">
        <is>
          <t>원료 화학 변동 증가(LSF 변동성)</t>
        </is>
      </c>
      <c r="D24" s="4" t="inlineStr">
        <is>
          <t>원료 LSF 변동이 크면 과소성·소성부족 구간이 혼재해 클링커 품질 편차가 커지고 평균 강도가 낮아진다.</t>
        </is>
      </c>
      <c r="E24" s="4" t="inlineStr">
        <is>
          <t>원료 LSF 변동↑, 클링커 LSF 변동↑</t>
        </is>
      </c>
      <c r="F24" s="4" t="inlineStr">
        <is>
          <t>원료 LSF 시간대별 표준편차 확인 / 혼합사일로 레벨·혼합효과(입·출 σ 비) 확인</t>
        </is>
      </c>
      <c r="G24" s="4" t="inlineStr">
        <is>
          <t>원료 조합 제어 게인·샘플링 주기 점검</t>
        </is>
      </c>
      <c r="H24" s="4" t="inlineStr">
        <is>
          <t>원료 예비균질화(파일링) 운영 개선 / 원료밀 조합제어(XRF 온라인 피드백) 고도화</t>
        </is>
      </c>
      <c r="I24" s="4" t="inlineStr">
        <is>
          <t>경험칙</t>
        </is>
      </c>
      <c r="J24" s="4" t="inlineStr">
        <is>
          <t>생산(원료)</t>
        </is>
      </c>
      <c r="K24" s="4" t="n">
        <v>0.5</v>
      </c>
    </row>
    <row r="25">
      <c r="A25" s="4" t="inlineStr">
        <is>
          <t>3일 압축강도 저하</t>
        </is>
      </c>
      <c r="B25" s="4" t="inlineStr">
        <is>
          <t>원료</t>
        </is>
      </c>
      <c r="C25" s="4" t="inlineStr">
        <is>
          <t>혼합재(석회석) 과다·클링커 풍화</t>
        </is>
      </c>
      <c r="D25" s="4" t="inlineStr">
        <is>
          <t>소량혼합성분(석회석) 증가 시 희석효과로 강도가 낮아진다. 강열감량 상승은 클링커 풍화(prehydration)·석고 결정수 영향일 수도 있다.</t>
        </is>
      </c>
      <c r="E25" s="4" t="inlineStr">
        <is>
          <t>시멘트 강열감량↑</t>
        </is>
      </c>
      <c r="F25" s="4" t="inlineStr">
        <is>
          <t>LOI·CO₂ 분석으로 석회석 혼입률 추정 / 혼합재 정량공급기 실적 확인 / 클링커 저장기간·야적 여부 확인</t>
        </is>
      </c>
      <c r="G25" s="4" t="inlineStr">
        <is>
          <t>혼합재 투입률 설정 복귀</t>
        </is>
      </c>
      <c r="H25" s="4" t="inlineStr">
        <is>
          <t>혼합재 투입 자동제어·실적 모니터링 / 클링커 저장 관리(선입선출·야적 최소화)</t>
        </is>
      </c>
      <c r="I25" s="4" t="inlineStr">
        <is>
          <t>경험칙</t>
        </is>
      </c>
      <c r="J25" s="4" t="inlineStr">
        <is>
          <t>생산(분쇄)</t>
        </is>
      </c>
      <c r="K25" s="4" t="n">
        <v>0.5</v>
      </c>
    </row>
    <row r="26">
      <c r="A26" s="4" t="inlineStr">
        <is>
          <t>3일 압축강도 저하</t>
        </is>
      </c>
      <c r="B26" s="4" t="inlineStr">
        <is>
          <t>설비</t>
        </is>
      </c>
      <c r="C26" s="4" t="inlineStr">
        <is>
          <t>클링커 냉각 불량(냉각기)</t>
        </is>
      </c>
      <c r="D26" s="4" t="inlineStr">
        <is>
          <t>서랭 시 C₃S 분해·벨라이트 조대화·C₃A 결정화로 반응성이 낮아질 수 있다. 2차 공기 온도 저하는 냉각기 열회수 이상의 신호.</t>
        </is>
      </c>
      <c r="E26" s="4" t="inlineStr">
        <is>
          <t>2차 공기 온도↓</t>
        </is>
      </c>
      <c r="F26" s="4" t="inlineStr">
        <is>
          <t>냉각기 그레이트 속도·냉각 팬 풍량 확인 / 냉각기 출구 클링커 온도 확인 / 클링커 현미경 관찰(알라이트 분해 흔적)</t>
        </is>
      </c>
      <c r="G26" s="4" t="inlineStr">
        <is>
          <t>냉각기 운전 조건(그레이트 속도·풍량) 조정</t>
        </is>
      </c>
      <c r="H26" s="4" t="inlineStr">
        <is>
          <t>냉각기 정비(그레이트 플레이트·팬) 계획 반영</t>
        </is>
      </c>
      <c r="I26" s="4" t="inlineStr">
        <is>
          <t>문헌+경험칙</t>
        </is>
      </c>
      <c r="J26" s="4" t="inlineStr">
        <is>
          <t>설비</t>
        </is>
      </c>
      <c r="K26" s="4" t="n">
        <v>0.35</v>
      </c>
    </row>
    <row r="27">
      <c r="A27" s="4" t="inlineStr">
        <is>
          <t>1일 압축강도 저하</t>
        </is>
      </c>
      <c r="B27" s="4" t="inlineStr">
        <is>
          <t>공정</t>
        </is>
      </c>
      <c r="C27" s="4" t="inlineStr">
        <is>
          <t>분말도 저하·입도분포 조대화(분쇄 공정)</t>
        </is>
      </c>
      <c r="D27" s="4" t="inlineStr">
        <is>
          <t>분말도는 수화 반응 표면적을 결정하며 특히 조기강도에 민감하다. 경험칙: Blaine 100 cm²/g 당 3일 강도 약 1~1.5 MPa.</t>
        </is>
      </c>
      <c r="E27" s="4" t="inlineStr">
        <is>
          <t>시멘트 분말도(Blaine)↓, 시멘트 45μm 잔사↑</t>
        </is>
      </c>
      <c r="F27" s="4" t="inlineStr">
        <is>
          <t>Blaine·45μm 잔사 재측정 / 레이저 입도분석(PSD, RRSB 균등계수 n) / 밀 운전 데이터(세퍼레이터 rpm·순환부하·투입량)</t>
        </is>
      </c>
      <c r="G27" s="4" t="inlineStr">
        <is>
          <t>세퍼레이터 속도 상향·밀 투입량 감량으로 분말도 회복 / 분말도 미달 구간 제품 출하 보류·재시험</t>
        </is>
      </c>
      <c r="H27" s="4" t="inlineStr">
        <is>
          <t>분쇄 매체 충진율·마모 정기 관리 / 세퍼레이터 정비 주기 수립 / 분말도 자동제어(온라인 PSD 분석기) 도입 검토</t>
        </is>
      </c>
      <c r="I27" s="4" t="inlineStr">
        <is>
          <t>이론+경험칙</t>
        </is>
      </c>
      <c r="J27" s="4" t="inlineStr">
        <is>
          <t>생산(분쇄)</t>
        </is>
      </c>
      <c r="K27" s="4" t="n">
        <v>1.3</v>
      </c>
    </row>
    <row r="28">
      <c r="A28" s="4" t="inlineStr">
        <is>
          <t>1일 압축강도 저하</t>
        </is>
      </c>
      <c r="B28" s="4" t="inlineStr">
        <is>
          <t>공정</t>
        </is>
      </c>
      <c r="C28" s="4" t="inlineStr">
        <is>
          <t>소성 부족(소성대 온도·열량 부족)</t>
        </is>
      </c>
      <c r="D28" s="4" t="inlineStr">
        <is>
          <t>소성대 온도·체류시간 부족 시 C₂S + CaO → C₃S 반응이 완결되지 않아 f-CaO↑, C₃S↓, 클링커가 다공질(리터중량↓)이 된다. 그 결과 강도가 저하된다.</t>
        </is>
      </c>
      <c r="E28" s="4" t="inlineStr">
        <is>
          <t>클링커 자유석회(f-CaO)↑, 소성대 온도(파이로미터)↓, 클링커 리터중량↓, 2차 공기 온도↓</t>
        </is>
      </c>
      <c r="F28" s="4" t="inlineStr">
        <is>
          <t>킬른 운전 추이(소성대 온도·주모터 부하·2차 공기 온도) 확인 / 시간대별 f-CaO·리터중량 대조 / 석탄 공업분석(발열량·회분·휘발분·수분)</t>
        </is>
      </c>
      <c r="G28" s="4" t="inlineStr">
        <is>
          <t>f-CaO 기준 초과 클링커 분리 저장 또는 혼합 비율 제한 / 소성 강화(연료·버너 조정) 및 원료 투입량 일시 감량</t>
        </is>
      </c>
      <c r="H28" s="4" t="inlineStr">
        <is>
          <t>석탄 입고 품질 기준(발열량 하한) 및 혼탄 관리 / f-CaO 기반 소성 피드백 운전 기준서 수립 / 버너 화염 형상 점검·개선</t>
        </is>
      </c>
      <c r="I28" s="4" t="inlineStr">
        <is>
          <t>이론+경험칙</t>
        </is>
      </c>
      <c r="J28" s="4" t="inlineStr">
        <is>
          <t>생산(소성)</t>
        </is>
      </c>
      <c r="K28" s="4" t="n">
        <v>1</v>
      </c>
    </row>
    <row r="29">
      <c r="A29" s="4" t="inlineStr">
        <is>
          <t>1일 압축강도 저하</t>
        </is>
      </c>
      <c r="B29" s="4" t="inlineStr">
        <is>
          <t>화학</t>
        </is>
      </c>
      <c r="C29" s="4" t="inlineStr">
        <is>
          <t>클링커 C₃S 저하(광물 조성 변화)</t>
        </is>
      </c>
      <c r="D29" s="4" t="inlineStr">
        <is>
          <t>C₃S(알라이트)는 3~28일 강도의 주 기여 광물이다. 경험칙: C₃S 1%p 감소 시 28일 강도 약 0.3~0.5 MPa 감소(공장별 상이 — 자체 회귀분석으로 확인 필요).</t>
        </is>
      </c>
      <c r="E29" s="4" t="inlineStr">
        <is>
          <t>클링커 C₃S(Bogue)↓, 클링커 LSF↓</t>
        </is>
      </c>
      <c r="F29" s="4" t="inlineStr">
        <is>
          <t>해당 기간 클링커 XRF 재분석·Bogue C₃S 확인 / XRD-Rietveld 정량으로 C₃S/C₂S 실측(Bogue와 편차 확인) / 클링커 현미경 관찰(알라이트 크기·형태, 벨라이트 군집)</t>
        </is>
      </c>
      <c r="G29" s="4" t="inlineStr">
        <is>
          <t>분말도 상향(+100~150 cm²/g)으로 강도 보상(밀 생산성 저하 감수) / 해당 클링커 사용 제품의 3·7일 강도 추적 강화</t>
        </is>
      </c>
      <c r="H29" s="4" t="inlineStr">
        <is>
          <t>원료 LSF 목표·변동(σ) 관리 강화 / 소성 운전 기준(소성대 온도·O₂·f-CaO 피드백) 표준화</t>
        </is>
      </c>
      <c r="I29" s="4" t="inlineStr">
        <is>
          <t>이론+경험칙</t>
        </is>
      </c>
      <c r="J29" s="4" t="inlineStr">
        <is>
          <t>품질</t>
        </is>
      </c>
      <c r="K29" s="4" t="n">
        <v>1</v>
      </c>
    </row>
    <row r="30">
      <c r="A30" s="4" t="inlineStr">
        <is>
          <t>1일 압축강도 저하</t>
        </is>
      </c>
      <c r="B30" s="4" t="inlineStr">
        <is>
          <t>화학</t>
        </is>
      </c>
      <c r="C30" s="4" t="inlineStr">
        <is>
          <t>SO₃(석고) 최적치 이탈</t>
        </is>
      </c>
      <c r="D30" s="4" t="inlineStr">
        <is>
          <t>SO₃가 최적치에서 벗어나면 C₃A 수화 제어가 부적절해져 강도가 저하된다. 과다 시 응결 지연·지연 팽창 위험, 부족 시 급결·조기강도 저하.</t>
        </is>
      </c>
      <c r="E30" s="4" t="inlineStr">
        <is>
          <t>시멘트 SO₃ 목표편차↑</t>
        </is>
      </c>
      <c r="F30" s="4" t="inlineStr">
        <is>
          <t>SO₃ 재분석(XRF ↔ 중량법 KS L 5120 교차) / 석고 정량공급기 실적(설정 대비 실제) / SO₃ 수준별 모르타르 강도 최적화 시험</t>
        </is>
      </c>
      <c r="G30" s="4" t="inlineStr">
        <is>
          <t>석고 투입 설정 복귀 및 공급기 점검 / SO₃ 이탈 구간 제품 분리·추가 시험</t>
        </is>
      </c>
      <c r="H30" s="4" t="inlineStr">
        <is>
          <t>석고 공급기 정기 교정·막힘 감지 알람 / 품종별 최적 SO₃ 정기 재설정(분기 1회)</t>
        </is>
      </c>
      <c r="I30" s="4" t="inlineStr">
        <is>
          <t>이론+경험칙</t>
        </is>
      </c>
      <c r="J30" s="4" t="inlineStr">
        <is>
          <t>생산(분쇄)</t>
        </is>
      </c>
      <c r="K30" s="4" t="n">
        <v>0.9</v>
      </c>
    </row>
    <row r="31">
      <c r="A31" s="4" t="inlineStr">
        <is>
          <t>1일 압축강도 저하</t>
        </is>
      </c>
      <c r="B31" s="4" t="inlineStr">
        <is>
          <t>시험오차</t>
        </is>
      </c>
      <c r="C31" s="4" t="inlineStr">
        <is>
          <t>1일 강도 시험 조건 이탈·시험 오차</t>
        </is>
      </c>
      <c r="D31" s="4" t="inlineStr">
        <is>
          <t>강도는 양생 온도(20±1 ℃)·시험실 조건·공시체 성형·재하 속도에 민감하다(KS L ISO 679). 조기강도와 화학 성분이 정상인데 특정 재령만 낮으면 시험오차 가능성이 높다.</t>
        </is>
      </c>
      <c r="E31" s="4" t="inlineStr">
        <is>
          <t>양생수 온도 기준 이탈, 시험실 온도 기준 이탈, 시험실 상대습도 기준 이탈, sand_lot 변경</t>
        </is>
      </c>
      <c r="F31" s="4" t="inlineStr">
        <is>
          <t>양생수조 온도 기록 확인 / 예비 공시체 재시험 또는 보관 시료 재성형 / 재하 속도(2,400±200 N/s) 및 시험기 교정 상태 확인 / 표준사 Lot·성형자 변경 여부 확인</t>
        </is>
      </c>
      <c r="G31" s="4" t="inlineStr">
        <is>
          <t>해당 로트 결과 보류 후 재시험으로 확정 / 양생수조 온도 제어기 점검·수리</t>
        </is>
      </c>
      <c r="H31" s="4" t="inlineStr">
        <is>
          <t>양생조 온도 자동기록·이탈 알람(±1 ℃) / 시험자 간 비교시험(숙련도) 정기 실시 / 시험기 정기 교정 관리</t>
        </is>
      </c>
      <c r="I31" s="4" t="inlineStr">
        <is>
          <t>규격+경험칙</t>
        </is>
      </c>
      <c r="J31" s="4" t="inlineStr">
        <is>
          <t>품질(시험실)</t>
        </is>
      </c>
      <c r="K31" s="4" t="n">
        <v>0.8</v>
      </c>
    </row>
    <row r="32">
      <c r="A32" s="4" t="inlineStr">
        <is>
          <t>1일 압축강도 저하</t>
        </is>
      </c>
      <c r="B32" s="4" t="inlineStr">
        <is>
          <t>원료</t>
        </is>
      </c>
      <c r="C32" s="4" t="inlineStr">
        <is>
          <t>원료 화학 변동 증가(LSF 변동성)</t>
        </is>
      </c>
      <c r="D32" s="4" t="inlineStr">
        <is>
          <t>원료 LSF 변동이 크면 과소성·소성부족 구간이 혼재해 클링커 품질 편차가 커지고 평균 강도가 낮아진다.</t>
        </is>
      </c>
      <c r="E32" s="4" t="inlineStr">
        <is>
          <t>원료 LSF 변동↑, 클링커 LSF 변동↑</t>
        </is>
      </c>
      <c r="F32" s="4" t="inlineStr">
        <is>
          <t>원료 LSF 시간대별 표준편차 확인 / 혼합사일로 레벨·혼합효과(입·출 σ 비) 확인</t>
        </is>
      </c>
      <c r="G32" s="4" t="inlineStr">
        <is>
          <t>원료 조합 제어 게인·샘플링 주기 점검</t>
        </is>
      </c>
      <c r="H32" s="4" t="inlineStr">
        <is>
          <t>원료 예비균질화(파일링) 운영 개선 / 원료밀 조합제어(XRF 온라인 피드백) 고도화</t>
        </is>
      </c>
      <c r="I32" s="4" t="inlineStr">
        <is>
          <t>경험칙</t>
        </is>
      </c>
      <c r="J32" s="4" t="inlineStr">
        <is>
          <t>생산(원료)</t>
        </is>
      </c>
      <c r="K32" s="4" t="n">
        <v>0.5</v>
      </c>
    </row>
    <row r="33">
      <c r="A33" s="4" t="inlineStr">
        <is>
          <t>1일 압축강도 저하</t>
        </is>
      </c>
      <c r="B33" s="4" t="inlineStr">
        <is>
          <t>원료</t>
        </is>
      </c>
      <c r="C33" s="4" t="inlineStr">
        <is>
          <t>혼합재(석회석) 과다·클링커 풍화</t>
        </is>
      </c>
      <c r="D33" s="4" t="inlineStr">
        <is>
          <t>소량혼합성분(석회석) 증가 시 희석효과로 강도가 낮아진다. 강열감량 상승은 클링커 풍화(prehydration)·석고 결정수 영향일 수도 있다.</t>
        </is>
      </c>
      <c r="E33" s="4" t="inlineStr">
        <is>
          <t>시멘트 강열감량↑</t>
        </is>
      </c>
      <c r="F33" s="4" t="inlineStr">
        <is>
          <t>LOI·CO₂ 분석으로 석회석 혼입률 추정 / 혼합재 정량공급기 실적 확인 / 클링커 저장기간·야적 여부 확인</t>
        </is>
      </c>
      <c r="G33" s="4" t="inlineStr">
        <is>
          <t>혼합재 투입률 설정 복귀</t>
        </is>
      </c>
      <c r="H33" s="4" t="inlineStr">
        <is>
          <t>혼합재 투입 자동제어·실적 모니터링 / 클링커 저장 관리(선입선출·야적 최소화)</t>
        </is>
      </c>
      <c r="I33" s="4" t="inlineStr">
        <is>
          <t>경험칙</t>
        </is>
      </c>
      <c r="J33" s="4" t="inlineStr">
        <is>
          <t>생산(분쇄)</t>
        </is>
      </c>
      <c r="K33" s="4" t="n">
        <v>0.5</v>
      </c>
    </row>
    <row r="34">
      <c r="A34" s="4" t="inlineStr">
        <is>
          <t>1일 압축강도 저하</t>
        </is>
      </c>
      <c r="B34" s="4" t="inlineStr">
        <is>
          <t>설비</t>
        </is>
      </c>
      <c r="C34" s="4" t="inlineStr">
        <is>
          <t>클링커 냉각 불량(냉각기)</t>
        </is>
      </c>
      <c r="D34" s="4" t="inlineStr">
        <is>
          <t>서랭 시 C₃S 분해·벨라이트 조대화·C₃A 결정화로 반응성이 낮아질 수 있다. 2차 공기 온도 저하는 냉각기 열회수 이상의 신호.</t>
        </is>
      </c>
      <c r="E34" s="4" t="inlineStr">
        <is>
          <t>2차 공기 온도↓</t>
        </is>
      </c>
      <c r="F34" s="4" t="inlineStr">
        <is>
          <t>냉각기 그레이트 속도·냉각 팬 풍량 확인 / 냉각기 출구 클링커 온도 확인 / 클링커 현미경 관찰(알라이트 분해 흔적)</t>
        </is>
      </c>
      <c r="G34" s="4" t="inlineStr">
        <is>
          <t>냉각기 운전 조건(그레이트 속도·풍량) 조정</t>
        </is>
      </c>
      <c r="H34" s="4" t="inlineStr">
        <is>
          <t>냉각기 정비(그레이트 플레이트·팬) 계획 반영</t>
        </is>
      </c>
      <c r="I34" s="4" t="inlineStr">
        <is>
          <t>문헌+경험칙</t>
        </is>
      </c>
      <c r="J34" s="4" t="inlineStr">
        <is>
          <t>설비</t>
        </is>
      </c>
      <c r="K34" s="4" t="n">
        <v>0.35</v>
      </c>
    </row>
    <row r="35">
      <c r="A35" s="4" t="inlineStr">
        <is>
          <t>28일 강도 예측치 저하(조기 경보)</t>
        </is>
      </c>
      <c r="B35" s="4" t="inlineStr">
        <is>
          <t>공정</t>
        </is>
      </c>
      <c r="C35" s="4" t="inlineStr">
        <is>
          <t>분말도 저하·입도분포 조대화(분쇄 공정)</t>
        </is>
      </c>
      <c r="D35" s="4" t="inlineStr">
        <is>
          <t>분말도는 수화 반응 표면적을 결정하며 특히 조기강도에 민감하다. 경험칙: Blaine 100 cm²/g 당 3일 강도 약 1~1.5 MPa.</t>
        </is>
      </c>
      <c r="E35" s="4" t="inlineStr">
        <is>
          <t>시멘트 분말도(Blaine)↓, 시멘트 45μm 잔사↑</t>
        </is>
      </c>
      <c r="F35" s="4" t="inlineStr">
        <is>
          <t>Blaine·45μm 잔사 재측정 / 레이저 입도분석(PSD, RRSB 균등계수 n) / 밀 운전 데이터(세퍼레이터 rpm·순환부하·투입량)</t>
        </is>
      </c>
      <c r="G35" s="4" t="inlineStr">
        <is>
          <t>세퍼레이터 속도 상향·밀 투입량 감량으로 분말도 회복 / 분말도 미달 구간 제품 출하 보류·재시험</t>
        </is>
      </c>
      <c r="H35" s="4" t="inlineStr">
        <is>
          <t>분쇄 매체 충진율·마모 정기 관리 / 세퍼레이터 정비 주기 수립 / 분말도 자동제어(온라인 PSD 분석기) 도입 검토</t>
        </is>
      </c>
      <c r="I35" s="4" t="inlineStr">
        <is>
          <t>이론+경험칙</t>
        </is>
      </c>
      <c r="J35" s="4" t="inlineStr">
        <is>
          <t>생산(분쇄)</t>
        </is>
      </c>
      <c r="K35" s="4" t="n">
        <v>1.3</v>
      </c>
    </row>
    <row r="36">
      <c r="A36" s="4" t="inlineStr">
        <is>
          <t>28일 강도 예측치 저하(조기 경보)</t>
        </is>
      </c>
      <c r="B36" s="4" t="inlineStr">
        <is>
          <t>공정</t>
        </is>
      </c>
      <c r="C36" s="4" t="inlineStr">
        <is>
          <t>소성 부족(소성대 온도·열량 부족)</t>
        </is>
      </c>
      <c r="D36" s="4" t="inlineStr">
        <is>
          <t>소성대 온도·체류시간 부족 시 C₂S + CaO → C₃S 반응이 완결되지 않아 f-CaO↑, C₃S↓, 클링커가 다공질(리터중량↓)이 된다. 그 결과 강도가 저하된다.</t>
        </is>
      </c>
      <c r="E36" s="4" t="inlineStr">
        <is>
          <t>클링커 자유석회(f-CaO)↑, 소성대 온도(파이로미터)↓, 클링커 리터중량↓, 2차 공기 온도↓</t>
        </is>
      </c>
      <c r="F36" s="4" t="inlineStr">
        <is>
          <t>킬른 운전 추이(소성대 온도·주모터 부하·2차 공기 온도) 확인 / 시간대별 f-CaO·리터중량 대조 / 석탄 공업분석(발열량·회분·휘발분·수분)</t>
        </is>
      </c>
      <c r="G36" s="4" t="inlineStr">
        <is>
          <t>f-CaO 기준 초과 클링커 분리 저장 또는 혼합 비율 제한 / 소성 강화(연료·버너 조정) 및 원료 투입량 일시 감량</t>
        </is>
      </c>
      <c r="H36" s="4" t="inlineStr">
        <is>
          <t>석탄 입고 품질 기준(발열량 하한) 및 혼탄 관리 / f-CaO 기반 소성 피드백 운전 기준서 수립 / 버너 화염 형상 점검·개선</t>
        </is>
      </c>
      <c r="I36" s="4" t="inlineStr">
        <is>
          <t>이론+경험칙</t>
        </is>
      </c>
      <c r="J36" s="4" t="inlineStr">
        <is>
          <t>생산(소성)</t>
        </is>
      </c>
      <c r="K36" s="4" t="n">
        <v>1</v>
      </c>
    </row>
    <row r="37">
      <c r="A37" s="4" t="inlineStr">
        <is>
          <t>28일 강도 예측치 저하(조기 경보)</t>
        </is>
      </c>
      <c r="B37" s="4" t="inlineStr">
        <is>
          <t>화학</t>
        </is>
      </c>
      <c r="C37" s="4" t="inlineStr">
        <is>
          <t>클링커 C₃S 저하(광물 조성 변화)</t>
        </is>
      </c>
      <c r="D37" s="4" t="inlineStr">
        <is>
          <t>C₃S(알라이트)는 3~28일 강도의 주 기여 광물이다. 경험칙: C₃S 1%p 감소 시 28일 강도 약 0.3~0.5 MPa 감소(공장별 상이 — 자체 회귀분석으로 확인 필요).</t>
        </is>
      </c>
      <c r="E37" s="4" t="inlineStr">
        <is>
          <t>클링커 C₃S(Bogue)↓, 클링커 LSF↓</t>
        </is>
      </c>
      <c r="F37" s="4" t="inlineStr">
        <is>
          <t>해당 기간 클링커 XRF 재분석·Bogue C₃S 확인 / XRD-Rietveld 정량으로 C₃S/C₂S 실측(Bogue와 편차 확인) / 클링커 현미경 관찰(알라이트 크기·형태, 벨라이트 군집)</t>
        </is>
      </c>
      <c r="G37" s="4" t="inlineStr">
        <is>
          <t>분말도 상향(+100~150 cm²/g)으로 강도 보상(밀 생산성 저하 감수) / 해당 클링커 사용 제품의 3·7일 강도 추적 강화</t>
        </is>
      </c>
      <c r="H37" s="4" t="inlineStr">
        <is>
          <t>원료 LSF 목표·변동(σ) 관리 강화 / 소성 운전 기준(소성대 온도·O₂·f-CaO 피드백) 표준화</t>
        </is>
      </c>
      <c r="I37" s="4" t="inlineStr">
        <is>
          <t>이론+경험칙</t>
        </is>
      </c>
      <c r="J37" s="4" t="inlineStr">
        <is>
          <t>품질</t>
        </is>
      </c>
      <c r="K37" s="4" t="n">
        <v>1</v>
      </c>
    </row>
    <row r="38">
      <c r="A38" s="4" t="inlineStr">
        <is>
          <t>28일 강도 예측치 저하(조기 경보)</t>
        </is>
      </c>
      <c r="B38" s="4" t="inlineStr">
        <is>
          <t>화학</t>
        </is>
      </c>
      <c r="C38" s="4" t="inlineStr">
        <is>
          <t>SO₃(석고) 최적치 이탈</t>
        </is>
      </c>
      <c r="D38" s="4" t="inlineStr">
        <is>
          <t>SO₃가 최적치에서 벗어나면 C₃A 수화 제어가 부적절해져 강도가 저하된다. 과다 시 응결 지연·지연 팽창 위험, 부족 시 급결·조기강도 저하.</t>
        </is>
      </c>
      <c r="E38" s="4" t="inlineStr">
        <is>
          <t>시멘트 SO₃ 목표편차↑</t>
        </is>
      </c>
      <c r="F38" s="4" t="inlineStr">
        <is>
          <t>SO₃ 재분석(XRF ↔ 중량법 KS L 5120 교차) / 석고 정량공급기 실적(설정 대비 실제) / SO₃ 수준별 모르타르 강도 최적화 시험</t>
        </is>
      </c>
      <c r="G38" s="4" t="inlineStr">
        <is>
          <t>석고 투입 설정 복귀 및 공급기 점검 / SO₃ 이탈 구간 제품 분리·추가 시험</t>
        </is>
      </c>
      <c r="H38" s="4" t="inlineStr">
        <is>
          <t>석고 공급기 정기 교정·막힘 감지 알람 / 품종별 최적 SO₃ 정기 재설정(분기 1회)</t>
        </is>
      </c>
      <c r="I38" s="4" t="inlineStr">
        <is>
          <t>이론+경험칙</t>
        </is>
      </c>
      <c r="J38" s="4" t="inlineStr">
        <is>
          <t>생산(분쇄)</t>
        </is>
      </c>
      <c r="K38" s="4" t="n">
        <v>0.9</v>
      </c>
    </row>
    <row r="39">
      <c r="A39" s="4" t="inlineStr">
        <is>
          <t>28일 강도 예측치 저하(조기 경보)</t>
        </is>
      </c>
      <c r="B39" s="4" t="inlineStr">
        <is>
          <t>원료</t>
        </is>
      </c>
      <c r="C39" s="4" t="inlineStr">
        <is>
          <t>원료 화학 변동 증가(LSF 변동성)</t>
        </is>
      </c>
      <c r="D39" s="4" t="inlineStr">
        <is>
          <t>원료 LSF 변동이 크면 과소성·소성부족 구간이 혼재해 클링커 품질 편차가 커지고 평균 강도가 낮아진다.</t>
        </is>
      </c>
      <c r="E39" s="4" t="inlineStr">
        <is>
          <t>원료 LSF 변동↑, 클링커 LSF 변동↑</t>
        </is>
      </c>
      <c r="F39" s="4" t="inlineStr">
        <is>
          <t>원료 LSF 시간대별 표준편차 확인 / 혼합사일로 레벨·혼합효과(입·출 σ 비) 확인</t>
        </is>
      </c>
      <c r="G39" s="4" t="inlineStr">
        <is>
          <t>원료 조합 제어 게인·샘플링 주기 점검</t>
        </is>
      </c>
      <c r="H39" s="4" t="inlineStr">
        <is>
          <t>원료 예비균질화(파일링) 운영 개선 / 원료밀 조합제어(XRF 온라인 피드백) 고도화</t>
        </is>
      </c>
      <c r="I39" s="4" t="inlineStr">
        <is>
          <t>경험칙</t>
        </is>
      </c>
      <c r="J39" s="4" t="inlineStr">
        <is>
          <t>생산(원료)</t>
        </is>
      </c>
      <c r="K39" s="4" t="n">
        <v>0.5</v>
      </c>
    </row>
    <row r="40">
      <c r="A40" s="4" t="inlineStr">
        <is>
          <t>28일 강도 예측치 저하(조기 경보)</t>
        </is>
      </c>
      <c r="B40" s="4" t="inlineStr">
        <is>
          <t>원료</t>
        </is>
      </c>
      <c r="C40" s="4" t="inlineStr">
        <is>
          <t>혼합재(석회석) 과다·클링커 풍화</t>
        </is>
      </c>
      <c r="D40" s="4" t="inlineStr">
        <is>
          <t>소량혼합성분(석회석) 증가 시 희석효과로 강도가 낮아진다. 강열감량 상승은 클링커 풍화(prehydration)·석고 결정수 영향일 수도 있다.</t>
        </is>
      </c>
      <c r="E40" s="4" t="inlineStr">
        <is>
          <t>시멘트 강열감량↑</t>
        </is>
      </c>
      <c r="F40" s="4" t="inlineStr">
        <is>
          <t>LOI·CO₂ 분석으로 석회석 혼입률 추정 / 혼합재 정량공급기 실적 확인 / 클링커 저장기간·야적 여부 확인</t>
        </is>
      </c>
      <c r="G40" s="4" t="inlineStr">
        <is>
          <t>혼합재 투입률 설정 복귀</t>
        </is>
      </c>
      <c r="H40" s="4" t="inlineStr">
        <is>
          <t>혼합재 투입 자동제어·실적 모니터링 / 클링커 저장 관리(선입선출·야적 최소화)</t>
        </is>
      </c>
      <c r="I40" s="4" t="inlineStr">
        <is>
          <t>경험칙</t>
        </is>
      </c>
      <c r="J40" s="4" t="inlineStr">
        <is>
          <t>생산(분쇄)</t>
        </is>
      </c>
      <c r="K40" s="4" t="n">
        <v>0.5</v>
      </c>
    </row>
    <row r="41">
      <c r="A41" s="4" t="inlineStr">
        <is>
          <t>28일 강도 예측치 저하(조기 경보)</t>
        </is>
      </c>
      <c r="B41" s="4" t="inlineStr">
        <is>
          <t>설비</t>
        </is>
      </c>
      <c r="C41" s="4" t="inlineStr">
        <is>
          <t>클링커 냉각 불량(냉각기)</t>
        </is>
      </c>
      <c r="D41" s="4" t="inlineStr">
        <is>
          <t>서랭 시 C₃S 분해·벨라이트 조대화·C₃A 결정화로 반응성이 낮아질 수 있다. 2차 공기 온도 저하는 냉각기 열회수 이상의 신호.</t>
        </is>
      </c>
      <c r="E41" s="4" t="inlineStr">
        <is>
          <t>2차 공기 온도↓</t>
        </is>
      </c>
      <c r="F41" s="4" t="inlineStr">
        <is>
          <t>냉각기 그레이트 속도·냉각 팬 풍량 확인 / 냉각기 출구 클링커 온도 확인 / 클링커 현미경 관찰(알라이트 분해 흔적)</t>
        </is>
      </c>
      <c r="G41" s="4" t="inlineStr">
        <is>
          <t>냉각기 운전 조건(그레이트 속도·풍량) 조정</t>
        </is>
      </c>
      <c r="H41" s="4" t="inlineStr">
        <is>
          <t>냉각기 정비(그레이트 플레이트·팬) 계획 반영</t>
        </is>
      </c>
      <c r="I41" s="4" t="inlineStr">
        <is>
          <t>문헌+경험칙</t>
        </is>
      </c>
      <c r="J41" s="4" t="inlineStr">
        <is>
          <t>설비</t>
        </is>
      </c>
      <c r="K41" s="4" t="n">
        <v>0.35</v>
      </c>
    </row>
    <row r="42">
      <c r="A42" s="4" t="inlineStr">
        <is>
          <t>28일 강도 예측치 저하(조기 경보)</t>
        </is>
      </c>
      <c r="B42" s="4" t="inlineStr">
        <is>
          <t>시험오차</t>
        </is>
      </c>
      <c r="C42" s="4" t="inlineStr">
        <is>
          <t>예측 모델 오차(입력 데이터·모델 한계)</t>
        </is>
      </c>
      <c r="D42" s="4" t="inlineStr">
        <is>
          <t>예측은 과거 데이터로 학습된 회귀식이다. 학습 범위를 벗어난 조건이거나 입력(조기강도) 자체가 오차를 포함할 수 있다.</t>
        </is>
      </c>
      <c r="E42" s="4" t="inlineStr">
        <is>
          <t>없음(현장 확인)</t>
        </is>
      </c>
      <c r="F42" s="4" t="inlineStr">
        <is>
          <t>예측 모델 R²·RMSE 확인 / 조기강도 시험 조건 확인 / 28일 실측 결과와 대조</t>
        </is>
      </c>
      <c r="G42" s="4" t="inlineStr">
        <is>
          <t>28일 실측 전까지 '예측 경보' 상태로 관리</t>
        </is>
      </c>
      <c r="H42" s="4" t="inlineStr">
        <is>
          <t>데이터 누적에 따른 모델 정기 재학습(월 1회)</t>
        </is>
      </c>
      <c r="I42" s="4" t="inlineStr">
        <is>
          <t>통계</t>
        </is>
      </c>
      <c r="J42" s="4" t="inlineStr">
        <is>
          <t>품질</t>
        </is>
      </c>
      <c r="K42" s="4" t="n">
        <v>0.4</v>
      </c>
    </row>
    <row r="43">
      <c r="A43" s="4" t="inlineStr">
        <is>
          <t>클링커 자유석회(f-CaO) 상승</t>
        </is>
      </c>
      <c r="B43" s="4" t="inlineStr">
        <is>
          <t>공정</t>
        </is>
      </c>
      <c r="C43" s="4" t="inlineStr">
        <is>
          <t>소성 부족(소성대 온도·열량 부족)</t>
        </is>
      </c>
      <c r="D43" s="4" t="inlineStr">
        <is>
          <t>소성대 온도·체류시간 부족 시 C₂S + CaO → C₃S 반응이 완결되지 않아 f-CaO↑, C₃S↓, 클링커가 다공질(리터중량↓)이 된다.</t>
        </is>
      </c>
      <c r="E43" s="4" t="inlineStr">
        <is>
          <t>클링커 자유석회(f-CaO)↑, 소성대 온도(파이로미터)↓, 클링커 리터중량↓, 2차 공기 온도↓</t>
        </is>
      </c>
      <c r="F43" s="4" t="inlineStr">
        <is>
          <t>킬른 운전 추이(소성대 온도·주모터 부하·2차 공기 온도) 확인 / 시간대별 f-CaO·리터중량 대조 / 석탄 공업분석(발열량·회분·휘발분·수분)</t>
        </is>
      </c>
      <c r="G43" s="4" t="inlineStr">
        <is>
          <t>f-CaO 기준 초과 클링커 분리 저장 또는 혼합 비율 제한 / 소성 강화(연료·버너 조정) 및 원료 투입량 일시 감량</t>
        </is>
      </c>
      <c r="H43" s="4" t="inlineStr">
        <is>
          <t>석탄 입고 품질 기준(발열량 하한) 및 혼탄 관리 / f-CaO 기반 소성 피드백 운전 기준서 수립 / 버너 화염 형상 점검·개선</t>
        </is>
      </c>
      <c r="I43" s="4" t="inlineStr">
        <is>
          <t>이론+경험칙</t>
        </is>
      </c>
      <c r="J43" s="4" t="inlineStr">
        <is>
          <t>생산(소성)</t>
        </is>
      </c>
      <c r="K43" s="4" t="n">
        <v>1.2</v>
      </c>
    </row>
    <row r="44">
      <c r="A44" s="4" t="inlineStr">
        <is>
          <t>클링커 자유석회(f-CaO) 상승</t>
        </is>
      </c>
      <c r="B44" s="4" t="inlineStr">
        <is>
          <t>원료</t>
        </is>
      </c>
      <c r="C44" s="4" t="inlineStr">
        <is>
          <t>원료 LSF 과다(석회 과포화)</t>
        </is>
      </c>
      <c r="D44" s="4" t="inlineStr">
        <is>
          <t>LSF가 높을수록 결합해야 할 CaO가 많아 같은 소성 조건에서 f-CaO가 증가한다. 경험칙: LSF +1 당 f-CaO 약 +0.2~0.3%p.</t>
        </is>
      </c>
      <c r="E44" s="4" t="inlineStr">
        <is>
          <t>원료 LSF↑, 클링커 LSF↑</t>
        </is>
      </c>
      <c r="F44" s="4" t="inlineStr">
        <is>
          <t>원료·클링커 LSF 추이 확인 / 석회석 품위(CaO) 및 채광 위치 변경 이력 확인</t>
        </is>
      </c>
      <c r="G44" s="4" t="inlineStr">
        <is>
          <t>원료 조합비 보정(석회석 비율↓) / 목표 LSF 일시 하향</t>
        </is>
      </c>
      <c r="H44" s="4" t="inlineStr">
        <is>
          <t>석회석 품위 예측(채광 시추 데이터) 기반 조합 관리 / 조합 제어 응답시간 단축</t>
        </is>
      </c>
      <c r="I44" s="4" t="inlineStr">
        <is>
          <t>이론+경험칙</t>
        </is>
      </c>
      <c r="J44" s="4" t="inlineStr">
        <is>
          <t>생산(원료)</t>
        </is>
      </c>
      <c r="K44" s="4" t="n">
        <v>1</v>
      </c>
    </row>
    <row r="45">
      <c r="A45" s="4" t="inlineStr">
        <is>
          <t>클링커 자유석회(f-CaO) 상승</t>
        </is>
      </c>
      <c r="B45" s="4" t="inlineStr">
        <is>
          <t>화학</t>
        </is>
      </c>
      <c r="C45" s="4" t="inlineStr">
        <is>
          <t>SM 과다·액상량 부족(난소성 조성)</t>
        </is>
      </c>
      <c r="D45" s="4" t="inlineStr">
        <is>
          <t>SM이 높거나 액상량이 적으면 소성성이 나빠져 석회 결합이 지연된다.</t>
        </is>
      </c>
      <c r="E45" s="4" t="inlineStr">
        <is>
          <t>클링커 SM↑, 액상량(1450℃)↓</t>
        </is>
      </c>
      <c r="F45" s="4" t="inlineStr">
        <is>
          <t>클링커 SM·IM·액상량 추이 확인 / 부원료(규석·철광석) 투입 비율 확인</t>
        </is>
      </c>
      <c r="G45" s="4" t="inlineStr">
        <is>
          <t>부원료 비율 조정으로 SM 복귀</t>
        </is>
      </c>
      <c r="H45" s="4" t="inlineStr">
        <is>
          <t>SM·IM 목표 범위 재설정(소성성 시험 기반)</t>
        </is>
      </c>
      <c r="I45" s="4" t="inlineStr">
        <is>
          <t>이론+경험칙</t>
        </is>
      </c>
      <c r="J45" s="4" t="inlineStr">
        <is>
          <t>생산(원료)</t>
        </is>
      </c>
      <c r="K45" s="4" t="n">
        <v>0.6</v>
      </c>
    </row>
    <row r="46">
      <c r="A46" s="4" t="inlineStr">
        <is>
          <t>클링커 자유석회(f-CaO) 상승</t>
        </is>
      </c>
      <c r="B46" s="4" t="inlineStr">
        <is>
          <t>원료</t>
        </is>
      </c>
      <c r="C46" s="4" t="inlineStr">
        <is>
          <t>원료 분말도 조대(90·200μm 잔사 증가)</t>
        </is>
      </c>
      <c r="D46" s="4" t="inlineStr">
        <is>
          <t>조대한 석영·방해석 입자는 반응성이 낮아 f-CaO가 남는다. 경험칙: 200μm 잔사(석영)가 특히 민감.</t>
        </is>
      </c>
      <c r="E46" s="4" t="inlineStr">
        <is>
          <t>원료 90μm 잔사↑, 원료 200μm 잔사↑</t>
        </is>
      </c>
      <c r="F46" s="4" t="inlineStr">
        <is>
          <t>원료 잔사(90·200μm) 재측정 / 원료밀 세퍼레이터·롤러 마모 상태 확인</t>
        </is>
      </c>
      <c r="G46" s="4" t="inlineStr">
        <is>
          <t>원료밀 세퍼레이터 속도 조정</t>
        </is>
      </c>
      <c r="H46" s="4" t="inlineStr">
        <is>
          <t>원료밀 정비 주기·분말도 관리기준 재설정</t>
        </is>
      </c>
      <c r="I46" s="4" t="inlineStr">
        <is>
          <t>문헌+경험칙</t>
        </is>
      </c>
      <c r="J46" s="4" t="inlineStr">
        <is>
          <t>생산(원료)</t>
        </is>
      </c>
      <c r="K46" s="4" t="n">
        <v>0.7</v>
      </c>
    </row>
    <row r="47">
      <c r="A47" s="4" t="inlineStr">
        <is>
          <t>클링커 자유석회(f-CaO) 상승</t>
        </is>
      </c>
      <c r="B47" s="4" t="inlineStr">
        <is>
          <t>공정</t>
        </is>
      </c>
      <c r="C47" s="4" t="inlineStr">
        <is>
          <t>연소 분위기 불량(CO↑·O₂↓)</t>
        </is>
      </c>
      <c r="D47" s="4" t="inlineStr">
        <is>
          <t>공기 부족·불완전 연소는 화염 온도와 열전달을 떨어뜨리고 환원 분위기에서 클링커 품질을 저하시킨다.</t>
        </is>
      </c>
      <c r="E47" s="4" t="inlineStr">
        <is>
          <t>킬른 입구 CO↑, 킬른 입구 O₂↓</t>
        </is>
      </c>
      <c r="F47" s="4" t="inlineStr">
        <is>
          <t>킬른 입구 가스(O₂·CO) 추이 / ID 팬·댐퍼 개도 확인 / 석탄 미분도·공급 안정성 확인</t>
        </is>
      </c>
      <c r="G47" s="4" t="inlineStr">
        <is>
          <t>O₂ 목표 상향(공기량 증가) / 석탄 공급 안정화</t>
        </is>
      </c>
      <c r="H47" s="4" t="inlineStr">
        <is>
          <t>연소 제어 루프(O₂·CO 기반) 튜닝</t>
        </is>
      </c>
      <c r="I47" s="4" t="inlineStr">
        <is>
          <t>이론+경험칙</t>
        </is>
      </c>
      <c r="J47" s="4" t="inlineStr">
        <is>
          <t>생산(소성)</t>
        </is>
      </c>
      <c r="K47" s="4" t="n">
        <v>0.8</v>
      </c>
    </row>
    <row r="48">
      <c r="A48" s="4" t="inlineStr">
        <is>
          <t>클링커 자유석회(f-CaO) 상승</t>
        </is>
      </c>
      <c r="B48" s="4" t="inlineStr">
        <is>
          <t>원료</t>
        </is>
      </c>
      <c r="C48" s="4" t="inlineStr">
        <is>
          <t>석탄 품질 저하(발열량↓)</t>
        </is>
      </c>
      <c r="D48" s="4" t="inlineStr">
        <is>
          <t>발열량이 낮은 석탄은 같은 투입량에서 열량이 부족하다. 투입량을 늘렸는데도 소성대 온도가 낮으면 석탄 품질을 의심.</t>
        </is>
      </c>
      <c r="E48" s="4" t="inlineStr">
        <is>
          <t>석탄 투입량↑, 소성대 온도(파이로미터)↓</t>
        </is>
      </c>
      <c r="F48" s="4" t="inlineStr">
        <is>
          <t>석탄 공업분석(발열량·회분·수분) / 석탄 입고 Lot·혼탄 비율 확인</t>
        </is>
      </c>
      <c r="G48" s="4" t="inlineStr">
        <is>
          <t>고발열량 석탄 혼탄 비율 상향</t>
        </is>
      </c>
      <c r="H48" s="4" t="inlineStr">
        <is>
          <t>석탄 입고 검사 기준(발열량 하한) 강화</t>
        </is>
      </c>
      <c r="I48" s="4" t="inlineStr">
        <is>
          <t>경험칙</t>
        </is>
      </c>
      <c r="J48" s="4" t="inlineStr">
        <is>
          <t>생산(소성)</t>
        </is>
      </c>
      <c r="K48" s="4" t="n">
        <v>0.7</v>
      </c>
    </row>
    <row r="49">
      <c r="A49" s="4" t="inlineStr">
        <is>
          <t>클링커 자유석회(f-CaO) 상승</t>
        </is>
      </c>
      <c r="B49" s="4" t="inlineStr">
        <is>
          <t>공정</t>
        </is>
      </c>
      <c r="C49" s="4" t="inlineStr">
        <is>
          <t>원료 투입량 증가(열부하 과다)</t>
        </is>
      </c>
      <c r="D49" s="4" t="inlineStr">
        <is>
          <t>투입량 증가 대비 연료가 따라가지 못하면 소성이 부족해진다.</t>
        </is>
      </c>
      <c r="E49" s="4" t="inlineStr">
        <is>
          <t>원료 투입량↑</t>
        </is>
      </c>
      <c r="F49" s="4" t="inlineStr">
        <is>
          <t>투입량 변경 이력 확인</t>
        </is>
      </c>
      <c r="G49" s="4" t="inlineStr">
        <is>
          <t>투입량 원복 또는 연료 증량</t>
        </is>
      </c>
      <c r="H49" s="4" t="inlineStr">
        <is>
          <t>투입량 변경 시 연료 연동 운전 기준</t>
        </is>
      </c>
      <c r="I49" s="4" t="inlineStr">
        <is>
          <t>경험칙</t>
        </is>
      </c>
      <c r="J49" s="4" t="inlineStr">
        <is>
          <t>생산(소성)</t>
        </is>
      </c>
      <c r="K49" s="4" t="n">
        <v>0.5</v>
      </c>
    </row>
    <row r="50">
      <c r="A50" s="4" t="inlineStr">
        <is>
          <t>클링커 자유석회(f-CaO) 상승</t>
        </is>
      </c>
      <c r="B50" s="4" t="inlineStr">
        <is>
          <t>시험오차</t>
        </is>
      </c>
      <c r="C50" s="4" t="inlineStr">
        <is>
          <t>f-CaO 분석·시료 채취 오차</t>
        </is>
      </c>
      <c r="D50" s="4" t="inlineStr">
        <is>
          <t>단발성 이탈이면서 연관 항목에 변화가 없으면 시료 대표성·분석 오차 가능성이 높다.</t>
        </is>
      </c>
      <c r="E50" s="4" t="inlineStr">
        <is>
          <t>이벤트 단발성↑</t>
        </is>
      </c>
      <c r="F50" s="4" t="inlineStr">
        <is>
          <t>동일 시료 재분석(이중 분석) / 표준시료(CRM)로 분석기 점검 / 시료 채취 위치·방법 확인</t>
        </is>
      </c>
      <c r="G50" s="4" t="inlineStr">
        <is>
          <t>재분석 결과로 판정 확정 / 재분석 전까지 조치는 보류하되 다음 시료 채취 주기 단축</t>
        </is>
      </c>
      <c r="H50" s="4" t="inlineStr">
        <is>
          <t>분석기 일상 점검(표준시료 관리도) 운영 / 시료 채취 절차서 정비</t>
        </is>
      </c>
      <c r="I50" s="4" t="inlineStr">
        <is>
          <t>경험칙</t>
        </is>
      </c>
      <c r="J50" s="4" t="inlineStr">
        <is>
          <t>품질(시험실)</t>
        </is>
      </c>
      <c r="K50" s="4" t="n">
        <v>0.5</v>
      </c>
    </row>
    <row r="51">
      <c r="A51" s="4" t="inlineStr">
        <is>
          <t>클링커 자유석회(f-CaO) 과저(과소성)</t>
        </is>
      </c>
      <c r="B51" s="4" t="inlineStr">
        <is>
          <t>공정</t>
        </is>
      </c>
      <c r="C51" s="4" t="inlineStr">
        <is>
          <t>과소성(소성대 온도 과다)</t>
        </is>
      </c>
      <c r="D51" s="4" t="inlineStr">
        <is>
          <t>필요 이상의 열량은 f-CaO를 과도하게 낮추고 연료 원단위를 높인다.</t>
        </is>
      </c>
      <c r="E51" s="4" t="inlineStr">
        <is>
          <t>소성대 온도(파이로미터)↑, 석탄 투입량↑</t>
        </is>
      </c>
      <c r="F51" s="4" t="inlineStr">
        <is>
          <t>소성대 온도·석탄 원단위 확인</t>
        </is>
      </c>
      <c r="G51" s="4" t="inlineStr">
        <is>
          <t>석탄 투입량 감량</t>
        </is>
      </c>
      <c r="H51" s="4" t="inlineStr">
        <is>
          <t>f-CaO 목표 범위 기반 연료 최적 운전</t>
        </is>
      </c>
      <c r="I51" s="4" t="inlineStr">
        <is>
          <t>이론</t>
        </is>
      </c>
      <c r="J51" s="4" t="inlineStr">
        <is>
          <t>생산(소성)</t>
        </is>
      </c>
      <c r="K51" s="4" t="n">
        <v>1</v>
      </c>
    </row>
    <row r="52">
      <c r="A52" s="4" t="inlineStr">
        <is>
          <t>클링커 자유석회(f-CaO) 과저(과소성)</t>
        </is>
      </c>
      <c r="B52" s="4" t="inlineStr">
        <is>
          <t>원료</t>
        </is>
      </c>
      <c r="C52" s="4" t="inlineStr">
        <is>
          <t>원료 LSF 저하</t>
        </is>
      </c>
      <c r="D52" s="4" t="inlineStr">
        <is>
          <t>LSF가 낮으면 쉽게 결합되어 f-CaO가 낮아지지만 C₃S도 줄어 강도가 저하될 수 있다.</t>
        </is>
      </c>
      <c r="E52" s="4" t="inlineStr">
        <is>
          <t>원료 LSF↓, 클링커 LSF↓</t>
        </is>
      </c>
      <c r="F52" s="4" t="inlineStr">
        <is>
          <t>원료·클링커 LSF 확인</t>
        </is>
      </c>
      <c r="G52" s="4" t="inlineStr">
        <is>
          <t>조합비 보정(석회석 비율↑)</t>
        </is>
      </c>
      <c r="H52" s="4" t="inlineStr">
        <is>
          <t>LSF 제어 정밀도 향상</t>
        </is>
      </c>
      <c r="I52" s="4" t="inlineStr">
        <is>
          <t>이론</t>
        </is>
      </c>
      <c r="J52" s="4" t="inlineStr">
        <is>
          <t>생산(원료)</t>
        </is>
      </c>
      <c r="K52" s="4" t="n">
        <v>1</v>
      </c>
    </row>
    <row r="53">
      <c r="A53" s="4" t="inlineStr">
        <is>
          <t>클링커 자유석회(f-CaO) 과저(과소성)</t>
        </is>
      </c>
      <c r="B53" s="4" t="inlineStr">
        <is>
          <t>공정</t>
        </is>
      </c>
      <c r="C53" s="4" t="inlineStr">
        <is>
          <t>원료 투입량 감소</t>
        </is>
      </c>
      <c r="D53" s="4" t="inlineStr">
        <is>
          <t>투입량 감소 시 열부하가 줄어 과소성되기 쉽다.</t>
        </is>
      </c>
      <c r="E53" s="4" t="inlineStr">
        <is>
          <t>원료 투입량↓</t>
        </is>
      </c>
      <c r="F53" s="4" t="inlineStr">
        <is>
          <t>투입량 변경 이력 확인</t>
        </is>
      </c>
      <c r="G53" s="4" t="inlineStr">
        <is>
          <t>연료 감량</t>
        </is>
      </c>
      <c r="H53" s="4" t="inlineStr">
        <is>
          <t>투입량-연료 연동 운전</t>
        </is>
      </c>
      <c r="I53" s="4" t="inlineStr">
        <is>
          <t>경험칙</t>
        </is>
      </c>
      <c r="J53" s="4" t="inlineStr">
        <is>
          <t>생산(소성)</t>
        </is>
      </c>
      <c r="K53" s="4" t="n">
        <v>0.5</v>
      </c>
    </row>
    <row r="54">
      <c r="A54" s="4" t="inlineStr">
        <is>
          <t>클링커 자유석회(f-CaO) 과저(과소성)</t>
        </is>
      </c>
      <c r="B54" s="4" t="inlineStr">
        <is>
          <t>시험오차</t>
        </is>
      </c>
      <c r="C54" s="4" t="inlineStr">
        <is>
          <t>f-CaO 분석·시료 채취 오차</t>
        </is>
      </c>
      <c r="D54" s="4" t="inlineStr">
        <is>
          <t>단발성 이탈이면서 연관 항목에 변화가 없으면 시료 대표성·분석 오차 가능성이 높다.</t>
        </is>
      </c>
      <c r="E54" s="4" t="inlineStr">
        <is>
          <t>이벤트 단발성↑</t>
        </is>
      </c>
      <c r="F54" s="4" t="inlineStr">
        <is>
          <t>동일 시료 재분석(이중 분석) / 표준시료(CRM)로 분석기 점검 / 시료 채취 위치·방법 확인</t>
        </is>
      </c>
      <c r="G54" s="4" t="inlineStr">
        <is>
          <t>재분석 결과로 판정 확정 / 재분석 전까지 조치는 보류하되 다음 시료 채취 주기 단축</t>
        </is>
      </c>
      <c r="H54" s="4" t="inlineStr">
        <is>
          <t>분석기 일상 점검(표준시료 관리도) 운영 / 시료 채취 절차서 정비</t>
        </is>
      </c>
      <c r="I54" s="4" t="inlineStr">
        <is>
          <t>경험칙</t>
        </is>
      </c>
      <c r="J54" s="4" t="inlineStr">
        <is>
          <t>품질(시험실)</t>
        </is>
      </c>
      <c r="K54" s="4" t="n">
        <v>0.5</v>
      </c>
    </row>
    <row r="55">
      <c r="A55" s="4" t="inlineStr">
        <is>
          <t>원료 LSF 상승</t>
        </is>
      </c>
      <c r="B55" s="4" t="inlineStr">
        <is>
          <t>원료</t>
        </is>
      </c>
      <c r="C55" s="4" t="inlineStr">
        <is>
          <t>석회석 품위(CaO) 상승</t>
        </is>
      </c>
      <c r="D55" s="4" t="inlineStr">
        <is>
          <t>채광 벤치·구역 변경, 협잡물(점토·규석질) 혼입 변화로 석회석 CaO 품위가 바뀌면 원료 LSF가 변한다.</t>
        </is>
      </c>
      <c r="E55" s="4" t="inlineStr">
        <is>
          <t>원료 CaO↑</t>
        </is>
      </c>
      <c r="F55" s="4" t="inlineStr">
        <is>
          <t>석회석 입고 분석(CaO·SiO₂) 및 채광 위치 확인 / 예비균질화 파일 성분 확인</t>
        </is>
      </c>
      <c r="G55" s="4" t="inlineStr">
        <is>
          <t>원료 조합비 즉시 보정 / 자동 조합 제어 목표값 재확인</t>
        </is>
      </c>
      <c r="H55" s="4" t="inlineStr">
        <is>
          <t>채광 계획 단계 품위 관리(시추 데이터 블렌딩) / 예비균질화 효과(파일링 방식) 개선</t>
        </is>
      </c>
      <c r="I55" s="4" t="inlineStr">
        <is>
          <t>경험칙</t>
        </is>
      </c>
      <c r="J55" s="4" t="inlineStr">
        <is>
          <t>생산(원료)·채광</t>
        </is>
      </c>
      <c r="K55" s="4" t="n">
        <v>1.2</v>
      </c>
    </row>
    <row r="56">
      <c r="A56" s="4" t="inlineStr">
        <is>
          <t>원료 LSF 상승</t>
        </is>
      </c>
      <c r="B56" s="4" t="inlineStr">
        <is>
          <t>원료</t>
        </is>
      </c>
      <c r="C56" s="4" t="inlineStr">
        <is>
          <t>부원료(점토·규석·철광석) 성분·투입 변동</t>
        </is>
      </c>
      <c r="D56" s="4" t="inlineStr">
        <is>
          <t>SiO₂ 공급원이 줄거나 늘면 LSF가 반대로 움직인다.</t>
        </is>
      </c>
      <c r="E56" s="4" t="inlineStr">
        <is>
          <t>원료 SiO₂↓</t>
        </is>
      </c>
      <c r="F56" s="4" t="inlineStr">
        <is>
          <t>부원료 입고 분석 / 부원료 정량공급기 실적</t>
        </is>
      </c>
      <c r="G56" s="4" t="inlineStr">
        <is>
          <t>부원료 투입 설정 보정</t>
        </is>
      </c>
      <c r="H56" s="4" t="inlineStr">
        <is>
          <t>부원료 입고 검사·저장 관리 강화</t>
        </is>
      </c>
      <c r="I56" s="4" t="inlineStr">
        <is>
          <t>경험칙</t>
        </is>
      </c>
      <c r="J56" s="4" t="inlineStr">
        <is>
          <t>생산(원료)</t>
        </is>
      </c>
      <c r="K56" s="4" t="n">
        <v>0.9</v>
      </c>
    </row>
    <row r="57">
      <c r="A57" s="4" t="inlineStr">
        <is>
          <t>원료 LSF 상승</t>
        </is>
      </c>
      <c r="B57" s="4" t="inlineStr">
        <is>
          <t>설비</t>
        </is>
      </c>
      <c r="C57" s="4" t="inlineStr">
        <is>
          <t>원료 정량공급기 편차·호퍼 막힘</t>
        </is>
      </c>
      <c r="D57" s="4" t="inlineStr">
        <is>
          <t>정량공급기 교정 불량이나 원료 수분 증가에 따른 호퍼 브리징으로 실제 투입 비율이 설정과 달라진다.</t>
        </is>
      </c>
      <c r="E57" s="4" t="inlineStr">
        <is>
          <t>없음(현장 확인)</t>
        </is>
      </c>
      <c r="F57" s="4" t="inlineStr">
        <is>
          <t>정량공급기 설정 vs 실적 비교 / 호퍼 막힘·수분 이력 확인 / 공급기 교정(실부하 검교정)</t>
        </is>
      </c>
      <c r="G57" s="4" t="inlineStr">
        <is>
          <t>막힘 해소·공급기 점검</t>
        </is>
      </c>
      <c r="H57" s="4" t="inlineStr">
        <is>
          <t>공급기 정기 교정·편차 알람 설정</t>
        </is>
      </c>
      <c r="I57" s="4" t="inlineStr">
        <is>
          <t>경험칙</t>
        </is>
      </c>
      <c r="J57" s="4" t="inlineStr">
        <is>
          <t>설비</t>
        </is>
      </c>
      <c r="K57" s="4" t="n">
        <v>0.8</v>
      </c>
    </row>
    <row r="58">
      <c r="A58" s="4" t="inlineStr">
        <is>
          <t>원료 LSF 상승</t>
        </is>
      </c>
      <c r="B58" s="4" t="inlineStr">
        <is>
          <t>공정</t>
        </is>
      </c>
      <c r="C58" s="4" t="inlineStr">
        <is>
          <t>원료 조합 제어 지연(샘플링·피드백 주기)</t>
        </is>
      </c>
      <c r="D58" s="4" t="inlineStr">
        <is>
          <t>분석 주기가 길거나 제어 게인이 부적절하면 원료 변동을 늦게 따라간다.</t>
        </is>
      </c>
      <c r="E58" s="4" t="inlineStr">
        <is>
          <t>없음(현장 확인)</t>
        </is>
      </c>
      <c r="F58" s="4" t="inlineStr">
        <is>
          <t>조합 제어 로그(설정 변경 시각)와 LSF 변화 시각 비교</t>
        </is>
      </c>
      <c r="G58" s="4" t="inlineStr">
        <is>
          <t>수동 보정 빈도 상향</t>
        </is>
      </c>
      <c r="H58" s="4" t="inlineStr">
        <is>
          <t>온라인 분석기(크로스벨트 등) 도입·제어 튜닝</t>
        </is>
      </c>
      <c r="I58" s="4" t="inlineStr">
        <is>
          <t>경험칙</t>
        </is>
      </c>
      <c r="J58" s="4" t="inlineStr">
        <is>
          <t>생산(원료)</t>
        </is>
      </c>
      <c r="K58" s="4" t="n">
        <v>0.6</v>
      </c>
    </row>
    <row r="59">
      <c r="A59" s="4" t="inlineStr">
        <is>
          <t>원료 LSF 상승</t>
        </is>
      </c>
      <c r="B59" s="4" t="inlineStr">
        <is>
          <t>시험오차</t>
        </is>
      </c>
      <c r="C59" s="4" t="inlineStr">
        <is>
          <t>XRF 검량선 드리프트·시료 대표성</t>
        </is>
      </c>
      <c r="D59" s="4" t="inlineStr">
        <is>
          <t>원료 LSF가 변했는데 이후 클링커 LSF에 반영되지 않으면 분석 오차일 가능성이 있다.</t>
        </is>
      </c>
      <c r="E59" s="4" t="inlineStr">
        <is>
          <t>클링커 LSF↑(반대), 이벤트 단발성↑</t>
        </is>
      </c>
      <c r="F59" s="4" t="inlineStr">
        <is>
          <t>표준시료(CRM)로 XRF 점검 / 동일 시료 재분석 / 자동 샘플러 상태 확인</t>
        </is>
      </c>
      <c r="G59" s="4" t="inlineStr">
        <is>
          <t>재분석 후 조합 보정 여부 결정</t>
        </is>
      </c>
      <c r="H59" s="4" t="inlineStr">
        <is>
          <t>XRF 표준시료 관리도 운영</t>
        </is>
      </c>
      <c r="I59" s="4" t="inlineStr">
        <is>
          <t>경험칙</t>
        </is>
      </c>
      <c r="J59" s="4" t="inlineStr">
        <is>
          <t>품질(시험실)</t>
        </is>
      </c>
      <c r="K59" s="4" t="n">
        <v>0.6</v>
      </c>
    </row>
    <row r="60">
      <c r="A60" s="4" t="inlineStr">
        <is>
          <t>원료 LSF 저하</t>
        </is>
      </c>
      <c r="B60" s="4" t="inlineStr">
        <is>
          <t>원료</t>
        </is>
      </c>
      <c r="C60" s="4" t="inlineStr">
        <is>
          <t>석회석 품위(CaO) 저하</t>
        </is>
      </c>
      <c r="D60" s="4" t="inlineStr">
        <is>
          <t>채광 벤치·구역 변경, 협잡물(점토·규석질) 혼입 변화로 석회석 CaO 품위가 바뀌면 원료 LSF가 변한다.</t>
        </is>
      </c>
      <c r="E60" s="4" t="inlineStr">
        <is>
          <t>원료 CaO↓</t>
        </is>
      </c>
      <c r="F60" s="4" t="inlineStr">
        <is>
          <t>석회석 입고 분석(CaO·SiO₂) 및 채광 위치 확인 / 예비균질화 파일 성분 확인</t>
        </is>
      </c>
      <c r="G60" s="4" t="inlineStr">
        <is>
          <t>원료 조합비 즉시 보정 / 자동 조합 제어 목표값 재확인</t>
        </is>
      </c>
      <c r="H60" s="4" t="inlineStr">
        <is>
          <t>채광 계획 단계 품위 관리(시추 데이터 블렌딩) / 예비균질화 효과(파일링 방식) 개선</t>
        </is>
      </c>
      <c r="I60" s="4" t="inlineStr">
        <is>
          <t>경험칙</t>
        </is>
      </c>
      <c r="J60" s="4" t="inlineStr">
        <is>
          <t>생산(원료)·채광</t>
        </is>
      </c>
      <c r="K60" s="4" t="n">
        <v>1.2</v>
      </c>
    </row>
    <row r="61">
      <c r="A61" s="4" t="inlineStr">
        <is>
          <t>원료 LSF 저하</t>
        </is>
      </c>
      <c r="B61" s="4" t="inlineStr">
        <is>
          <t>원료</t>
        </is>
      </c>
      <c r="C61" s="4" t="inlineStr">
        <is>
          <t>부원료(점토·규석·철광석) 성분·투입 변동</t>
        </is>
      </c>
      <c r="D61" s="4" t="inlineStr">
        <is>
          <t>SiO₂ 공급원이 줄거나 늘면 LSF가 반대로 움직인다.</t>
        </is>
      </c>
      <c r="E61" s="4" t="inlineStr">
        <is>
          <t>원료 SiO₂↑</t>
        </is>
      </c>
      <c r="F61" s="4" t="inlineStr">
        <is>
          <t>부원료 입고 분석 / 부원료 정량공급기 실적</t>
        </is>
      </c>
      <c r="G61" s="4" t="inlineStr">
        <is>
          <t>부원료 투입 설정 보정</t>
        </is>
      </c>
      <c r="H61" s="4" t="inlineStr">
        <is>
          <t>부원료 입고 검사·저장 관리 강화</t>
        </is>
      </c>
      <c r="I61" s="4" t="inlineStr">
        <is>
          <t>경험칙</t>
        </is>
      </c>
      <c r="J61" s="4" t="inlineStr">
        <is>
          <t>생산(원료)</t>
        </is>
      </c>
      <c r="K61" s="4" t="n">
        <v>0.9</v>
      </c>
    </row>
    <row r="62">
      <c r="A62" s="4" t="inlineStr">
        <is>
          <t>원료 LSF 저하</t>
        </is>
      </c>
      <c r="B62" s="4" t="inlineStr">
        <is>
          <t>설비</t>
        </is>
      </c>
      <c r="C62" s="4" t="inlineStr">
        <is>
          <t>원료 정량공급기 편차·호퍼 막힘</t>
        </is>
      </c>
      <c r="D62" s="4" t="inlineStr">
        <is>
          <t>정량공급기 교정 불량이나 원료 수분 증가에 따른 호퍼 브리징으로 실제 투입 비율이 설정과 달라진다.</t>
        </is>
      </c>
      <c r="E62" s="4" t="inlineStr">
        <is>
          <t>없음(현장 확인)</t>
        </is>
      </c>
      <c r="F62" s="4" t="inlineStr">
        <is>
          <t>정량공급기 설정 vs 실적 비교 / 호퍼 막힘·수분 이력 확인 / 공급기 교정(실부하 검교정)</t>
        </is>
      </c>
      <c r="G62" s="4" t="inlineStr">
        <is>
          <t>막힘 해소·공급기 점검</t>
        </is>
      </c>
      <c r="H62" s="4" t="inlineStr">
        <is>
          <t>공급기 정기 교정·편차 알람 설정</t>
        </is>
      </c>
      <c r="I62" s="4" t="inlineStr">
        <is>
          <t>경험칙</t>
        </is>
      </c>
      <c r="J62" s="4" t="inlineStr">
        <is>
          <t>설비</t>
        </is>
      </c>
      <c r="K62" s="4" t="n">
        <v>0.8</v>
      </c>
    </row>
    <row r="63">
      <c r="A63" s="4" t="inlineStr">
        <is>
          <t>원료 LSF 저하</t>
        </is>
      </c>
      <c r="B63" s="4" t="inlineStr">
        <is>
          <t>공정</t>
        </is>
      </c>
      <c r="C63" s="4" t="inlineStr">
        <is>
          <t>원료 조합 제어 지연(샘플링·피드백 주기)</t>
        </is>
      </c>
      <c r="D63" s="4" t="inlineStr">
        <is>
          <t>분석 주기가 길거나 제어 게인이 부적절하면 원료 변동을 늦게 따라간다.</t>
        </is>
      </c>
      <c r="E63" s="4" t="inlineStr">
        <is>
          <t>없음(현장 확인)</t>
        </is>
      </c>
      <c r="F63" s="4" t="inlineStr">
        <is>
          <t>조합 제어 로그(설정 변경 시각)와 LSF 변화 시각 비교</t>
        </is>
      </c>
      <c r="G63" s="4" t="inlineStr">
        <is>
          <t>수동 보정 빈도 상향</t>
        </is>
      </c>
      <c r="H63" s="4" t="inlineStr">
        <is>
          <t>온라인 분석기(크로스벨트 등) 도입·제어 튜닝</t>
        </is>
      </c>
      <c r="I63" s="4" t="inlineStr">
        <is>
          <t>경험칙</t>
        </is>
      </c>
      <c r="J63" s="4" t="inlineStr">
        <is>
          <t>생산(원료)</t>
        </is>
      </c>
      <c r="K63" s="4" t="n">
        <v>0.6</v>
      </c>
    </row>
    <row r="64">
      <c r="A64" s="4" t="inlineStr">
        <is>
          <t>원료 LSF 저하</t>
        </is>
      </c>
      <c r="B64" s="4" t="inlineStr">
        <is>
          <t>시험오차</t>
        </is>
      </c>
      <c r="C64" s="4" t="inlineStr">
        <is>
          <t>XRF 검량선 드리프트·시료 대표성</t>
        </is>
      </c>
      <c r="D64" s="4" t="inlineStr">
        <is>
          <t>원료 LSF가 변했는데 이후 클링커 LSF에 반영되지 않으면 분석 오차일 가능성이 있다.</t>
        </is>
      </c>
      <c r="E64" s="4" t="inlineStr">
        <is>
          <t>클링커 LSF↓(반대), 이벤트 단발성↑</t>
        </is>
      </c>
      <c r="F64" s="4" t="inlineStr">
        <is>
          <t>표준시료(CRM)로 XRF 점검 / 동일 시료 재분석 / 자동 샘플러 상태 확인</t>
        </is>
      </c>
      <c r="G64" s="4" t="inlineStr">
        <is>
          <t>재분석 후 조합 보정 여부 결정</t>
        </is>
      </c>
      <c r="H64" s="4" t="inlineStr">
        <is>
          <t>XRF 표준시료 관리도 운영</t>
        </is>
      </c>
      <c r="I64" s="4" t="inlineStr">
        <is>
          <t>경험칙</t>
        </is>
      </c>
      <c r="J64" s="4" t="inlineStr">
        <is>
          <t>품질(시험실)</t>
        </is>
      </c>
      <c r="K64" s="4" t="n">
        <v>0.6</v>
      </c>
    </row>
    <row r="65">
      <c r="A65" s="4" t="inlineStr">
        <is>
          <t>클링커 LSF 상승</t>
        </is>
      </c>
      <c r="B65" s="4" t="inlineStr">
        <is>
          <t>원료</t>
        </is>
      </c>
      <c r="C65" s="4" t="inlineStr">
        <is>
          <t>원료 LSF 상승</t>
        </is>
      </c>
      <c r="D65" s="4" t="inlineStr">
        <is>
          <t>클링커 LSF는 원료 LSF와 석탄회 흡수로 결정된다.</t>
        </is>
      </c>
      <c r="E65" s="4" t="inlineStr">
        <is>
          <t>원료 LSF↑</t>
        </is>
      </c>
      <c r="F65" s="4" t="inlineStr">
        <is>
          <t>원료 LSF 추이 확인</t>
        </is>
      </c>
      <c r="G65" s="4" t="inlineStr">
        <is>
          <t>원료 조합비 보정</t>
        </is>
      </c>
      <c r="H65" s="4" t="inlineStr">
        <is>
          <t>원료 LSF 관리 정밀도 향상</t>
        </is>
      </c>
      <c r="I65" s="4" t="inlineStr">
        <is>
          <t>이론</t>
        </is>
      </c>
      <c r="J65" s="4" t="inlineStr">
        <is>
          <t>생산(원료)</t>
        </is>
      </c>
      <c r="K65" s="4" t="n">
        <v>1.2</v>
      </c>
    </row>
    <row r="66">
      <c r="A66" s="4" t="inlineStr">
        <is>
          <t>클링커 LSF 상승</t>
        </is>
      </c>
      <c r="B66" s="4" t="inlineStr">
        <is>
          <t>공정</t>
        </is>
      </c>
      <c r="C66" s="4" t="inlineStr">
        <is>
          <t>석탄회 흡수량 변화(연료 감소)</t>
        </is>
      </c>
      <c r="D66" s="4" t="inlineStr">
        <is>
          <t>석탄회는 SiO₂·Al₂O₃가 많아 흡수량이 늘면 클링커 LSF가 낮아지고, 줄면 높아진다.</t>
        </is>
      </c>
      <c r="E66" s="4" t="inlineStr">
        <is>
          <t>석탄 투입량↓</t>
        </is>
      </c>
      <c r="F66" s="4" t="inlineStr">
        <is>
          <t>석탄 투입량·회분 확인</t>
        </is>
      </c>
      <c r="G66" s="4" t="inlineStr">
        <is>
          <t>원료 목표 LSF에 석탄회 보정 반영</t>
        </is>
      </c>
      <c r="H66" s="4" t="inlineStr">
        <is>
          <t>석탄 회분 변동을 반영한 조합 설계</t>
        </is>
      </c>
      <c r="I66" s="4" t="inlineStr">
        <is>
          <t>이론</t>
        </is>
      </c>
      <c r="J66" s="4" t="inlineStr">
        <is>
          <t>생산(소성)</t>
        </is>
      </c>
      <c r="K66" s="4" t="n">
        <v>0.6</v>
      </c>
    </row>
    <row r="67">
      <c r="A67" s="4" t="inlineStr">
        <is>
          <t>클링커 LSF 상승</t>
        </is>
      </c>
      <c r="B67" s="4" t="inlineStr">
        <is>
          <t>시험오차</t>
        </is>
      </c>
      <c r="C67" s="4" t="inlineStr">
        <is>
          <t>클링커 XRF 분석·시료 채취 오차</t>
        </is>
      </c>
      <c r="D67" s="4" t="inlineStr">
        <is>
          <t>단발성 이탈이면서 연관 항목에 변화가 없으면 시료 대표성·분석 오차 가능성이 높다.</t>
        </is>
      </c>
      <c r="E67" s="4" t="inlineStr">
        <is>
          <t>이벤트 단발성↑</t>
        </is>
      </c>
      <c r="F67" s="4" t="inlineStr">
        <is>
          <t>동일 시료 재분석(이중 분석) / 표준시료(CRM)로 분석기 점검 / 시료 채취 위치·방법 확인</t>
        </is>
      </c>
      <c r="G67" s="4" t="inlineStr">
        <is>
          <t>재분석 결과로 판정 확정 / 재분석 전까지 조치는 보류하되 다음 시료 채취 주기 단축</t>
        </is>
      </c>
      <c r="H67" s="4" t="inlineStr">
        <is>
          <t>분석기 일상 점검(표준시료 관리도) 운영 / 시료 채취 절차서 정비</t>
        </is>
      </c>
      <c r="I67" s="4" t="inlineStr">
        <is>
          <t>경험칙</t>
        </is>
      </c>
      <c r="J67" s="4" t="inlineStr">
        <is>
          <t>품질(시험실)</t>
        </is>
      </c>
      <c r="K67" s="4" t="n">
        <v>0.5</v>
      </c>
    </row>
    <row r="68">
      <c r="A68" s="4" t="inlineStr">
        <is>
          <t>클링커 LSF 저하</t>
        </is>
      </c>
      <c r="B68" s="4" t="inlineStr">
        <is>
          <t>원료</t>
        </is>
      </c>
      <c r="C68" s="4" t="inlineStr">
        <is>
          <t>원료 LSF 저하</t>
        </is>
      </c>
      <c r="D68" s="4" t="inlineStr">
        <is>
          <t>클링커 LSF는 원료 LSF와 석탄회 흡수로 결정된다.</t>
        </is>
      </c>
      <c r="E68" s="4" t="inlineStr">
        <is>
          <t>원료 LSF↓</t>
        </is>
      </c>
      <c r="F68" s="4" t="inlineStr">
        <is>
          <t>원료 LSF 추이 확인</t>
        </is>
      </c>
      <c r="G68" s="4" t="inlineStr">
        <is>
          <t>원료 조합비 보정</t>
        </is>
      </c>
      <c r="H68" s="4" t="inlineStr">
        <is>
          <t>원료 LSF 관리 정밀도 향상</t>
        </is>
      </c>
      <c r="I68" s="4" t="inlineStr">
        <is>
          <t>이론</t>
        </is>
      </c>
      <c r="J68" s="4" t="inlineStr">
        <is>
          <t>생산(원료)</t>
        </is>
      </c>
      <c r="K68" s="4" t="n">
        <v>1.2</v>
      </c>
    </row>
    <row r="69">
      <c r="A69" s="4" t="inlineStr">
        <is>
          <t>클링커 LSF 저하</t>
        </is>
      </c>
      <c r="B69" s="4" t="inlineStr">
        <is>
          <t>공정</t>
        </is>
      </c>
      <c r="C69" s="4" t="inlineStr">
        <is>
          <t>석탄회 흡수량 변화(연료 증가)</t>
        </is>
      </c>
      <c r="D69" s="4" t="inlineStr">
        <is>
          <t>석탄회는 SiO₂·Al₂O₃가 많아 흡수량이 늘면 클링커 LSF가 낮아지고, 줄면 높아진다.</t>
        </is>
      </c>
      <c r="E69" s="4" t="inlineStr">
        <is>
          <t>석탄 투입량↑</t>
        </is>
      </c>
      <c r="F69" s="4" t="inlineStr">
        <is>
          <t>석탄 투입량·회분 확인</t>
        </is>
      </c>
      <c r="G69" s="4" t="inlineStr">
        <is>
          <t>원료 목표 LSF에 석탄회 보정 반영</t>
        </is>
      </c>
      <c r="H69" s="4" t="inlineStr">
        <is>
          <t>석탄 회분 변동을 반영한 조합 설계</t>
        </is>
      </c>
      <c r="I69" s="4" t="inlineStr">
        <is>
          <t>이론</t>
        </is>
      </c>
      <c r="J69" s="4" t="inlineStr">
        <is>
          <t>생산(소성)</t>
        </is>
      </c>
      <c r="K69" s="4" t="n">
        <v>0.6</v>
      </c>
    </row>
    <row r="70">
      <c r="A70" s="4" t="inlineStr">
        <is>
          <t>클링커 LSF 저하</t>
        </is>
      </c>
      <c r="B70" s="4" t="inlineStr">
        <is>
          <t>시험오차</t>
        </is>
      </c>
      <c r="C70" s="4" t="inlineStr">
        <is>
          <t>클링커 XRF 분석·시료 채취 오차</t>
        </is>
      </c>
      <c r="D70" s="4" t="inlineStr">
        <is>
          <t>단발성 이탈이면서 연관 항목에 변화가 없으면 시료 대표성·분석 오차 가능성이 높다.</t>
        </is>
      </c>
      <c r="E70" s="4" t="inlineStr">
        <is>
          <t>이벤트 단발성↑</t>
        </is>
      </c>
      <c r="F70" s="4" t="inlineStr">
        <is>
          <t>동일 시료 재분석(이중 분석) / 표준시료(CRM)로 분석기 점검 / 시료 채취 위치·방법 확인</t>
        </is>
      </c>
      <c r="G70" s="4" t="inlineStr">
        <is>
          <t>재분석 결과로 판정 확정 / 재분석 전까지 조치는 보류하되 다음 시료 채취 주기 단축</t>
        </is>
      </c>
      <c r="H70" s="4" t="inlineStr">
        <is>
          <t>분석기 일상 점검(표준시료 관리도) 운영 / 시료 채취 절차서 정비</t>
        </is>
      </c>
      <c r="I70" s="4" t="inlineStr">
        <is>
          <t>경험칙</t>
        </is>
      </c>
      <c r="J70" s="4" t="inlineStr">
        <is>
          <t>품질(시험실)</t>
        </is>
      </c>
      <c r="K70" s="4" t="n">
        <v>0.5</v>
      </c>
    </row>
    <row r="71">
      <c r="A71" s="4" t="inlineStr">
        <is>
          <t>시멘트 SO₃ 과다</t>
        </is>
      </c>
      <c r="B71" s="4" t="inlineStr">
        <is>
          <t>설비</t>
        </is>
      </c>
      <c r="C71" s="4" t="inlineStr">
        <is>
          <t>석고 정량공급기 이상(막힘·교정 불량)</t>
        </is>
      </c>
      <c r="D71" s="4" t="inlineStr">
        <is>
          <t>석고 공급기 이상은 SO₃ 급변의 가장 흔한 원인이다(경험칙).</t>
        </is>
      </c>
      <c r="E71" s="4" t="inlineStr">
        <is>
          <t>없음(현장 확인)</t>
        </is>
      </c>
      <c r="F71" s="4" t="inlineStr">
        <is>
          <t>공급기 설정 대비 실적 비교 / 석고 호퍼 막힘·수분 확인 / 공급기 실부하 교정</t>
        </is>
      </c>
      <c r="G71" s="4" t="inlineStr">
        <is>
          <t>공급기 점검·설정 복귀 / SO₃ 분석 주기 단축(1시간)</t>
        </is>
      </c>
      <c r="H71" s="4" t="inlineStr">
        <is>
          <t>공급기 편차 알람·정기 교정 / SO₃ 온라인 제어 루프 구축</t>
        </is>
      </c>
      <c r="I71" s="4" t="inlineStr">
        <is>
          <t>경험칙</t>
        </is>
      </c>
      <c r="J71" s="4" t="inlineStr">
        <is>
          <t>설비</t>
        </is>
      </c>
      <c r="K71" s="4" t="n">
        <v>1.3</v>
      </c>
    </row>
    <row r="72">
      <c r="A72" s="4" t="inlineStr">
        <is>
          <t>시멘트 SO₃ 과다</t>
        </is>
      </c>
      <c r="B72" s="4" t="inlineStr">
        <is>
          <t>원료</t>
        </is>
      </c>
      <c r="C72" s="4" t="inlineStr">
        <is>
          <t>석고 품위(순도) 변동</t>
        </is>
      </c>
      <c r="D72" s="4" t="inlineStr">
        <is>
          <t>천연석고·배연탈황석고 혼용 비율이나 순도 변화로 같은 투입량에서도 SO₃가 달라진다.</t>
        </is>
      </c>
      <c r="E72" s="4" t="inlineStr">
        <is>
          <t>없음(현장 확인)</t>
        </is>
      </c>
      <c r="F72" s="4" t="inlineStr">
        <is>
          <t>석고 입고 분석(SO₃·결정수) / 석고 혼용 비율 확인</t>
        </is>
      </c>
      <c r="G72" s="4" t="inlineStr">
        <is>
          <t>석고 투입량 보정</t>
        </is>
      </c>
      <c r="H72" s="4" t="inlineStr">
        <is>
          <t>석고 입고 검사 기준·혼용 비율 관리</t>
        </is>
      </c>
      <c r="I72" s="4" t="inlineStr">
        <is>
          <t>경험칙</t>
        </is>
      </c>
      <c r="J72" s="4" t="inlineStr">
        <is>
          <t>품질</t>
        </is>
      </c>
      <c r="K72" s="4" t="n">
        <v>0.8</v>
      </c>
    </row>
    <row r="73">
      <c r="A73" s="4" t="inlineStr">
        <is>
          <t>시멘트 SO₃ 과다</t>
        </is>
      </c>
      <c r="B73" s="4" t="inlineStr">
        <is>
          <t>화학</t>
        </is>
      </c>
      <c r="C73" s="4" t="inlineStr">
        <is>
          <t>클링커 SO₃ 증가(연료 황분·휘발)</t>
        </is>
      </c>
      <c r="D73" s="4" t="inlineStr">
        <is>
          <t>연료 황분 증가나 소성 분위기 변화로 클링커 SO₃가 변하면 시멘트 SO₃도 변한다.</t>
        </is>
      </c>
      <c r="E73" s="4" t="inlineStr">
        <is>
          <t>클링커 SO₃↑</t>
        </is>
      </c>
      <c r="F73" s="4" t="inlineStr">
        <is>
          <t>클링커 SO₃·연료 황분 확인</t>
        </is>
      </c>
      <c r="G73" s="4" t="inlineStr">
        <is>
          <t>석고 투입량 보정</t>
        </is>
      </c>
      <c r="H73" s="4" t="inlineStr">
        <is>
          <t>클링커 SO₃를 반영한 석고 투입 제어</t>
        </is>
      </c>
      <c r="I73" s="4" t="inlineStr">
        <is>
          <t>이론</t>
        </is>
      </c>
      <c r="J73" s="4" t="inlineStr">
        <is>
          <t>품질</t>
        </is>
      </c>
      <c r="K73" s="4" t="n">
        <v>0.6</v>
      </c>
    </row>
    <row r="74">
      <c r="A74" s="4" t="inlineStr">
        <is>
          <t>시멘트 SO₃ 과다</t>
        </is>
      </c>
      <c r="B74" s="4" t="inlineStr">
        <is>
          <t>시험오차</t>
        </is>
      </c>
      <c r="C74" s="4" t="inlineStr">
        <is>
          <t>SO₃ 분석·시료 채취 오차</t>
        </is>
      </c>
      <c r="D74" s="4" t="inlineStr">
        <is>
          <t>단발성 이탈이면서 연관 항목에 변화가 없으면 시료 대표성·분석 오차 가능성이 높다.</t>
        </is>
      </c>
      <c r="E74" s="4" t="inlineStr">
        <is>
          <t>이벤트 단발성↑</t>
        </is>
      </c>
      <c r="F74" s="4" t="inlineStr">
        <is>
          <t>동일 시료 재분석(이중 분석) / 표준시료(CRM)로 분석기 점검 / 시료 채취 위치·방법 확인</t>
        </is>
      </c>
      <c r="G74" s="4" t="inlineStr">
        <is>
          <t>재분석 결과로 판정 확정 / 재분석 전까지 조치는 보류하되 다음 시료 채취 주기 단축</t>
        </is>
      </c>
      <c r="H74" s="4" t="inlineStr">
        <is>
          <t>분석기 일상 점검(표준시료 관리도) 운영 / 시료 채취 절차서 정비</t>
        </is>
      </c>
      <c r="I74" s="4" t="inlineStr">
        <is>
          <t>경험칙</t>
        </is>
      </c>
      <c r="J74" s="4" t="inlineStr">
        <is>
          <t>품질(시험실)</t>
        </is>
      </c>
      <c r="K74" s="4" t="n">
        <v>0.5</v>
      </c>
    </row>
    <row r="75">
      <c r="A75" s="4" t="inlineStr">
        <is>
          <t>시멘트 SO₃ 부족</t>
        </is>
      </c>
      <c r="B75" s="4" t="inlineStr">
        <is>
          <t>설비</t>
        </is>
      </c>
      <c r="C75" s="4" t="inlineStr">
        <is>
          <t>석고 정량공급기 이상(막힘·교정 불량)</t>
        </is>
      </c>
      <c r="D75" s="4" t="inlineStr">
        <is>
          <t>석고 공급기 이상은 SO₃ 급변의 가장 흔한 원인이다(경험칙).</t>
        </is>
      </c>
      <c r="E75" s="4" t="inlineStr">
        <is>
          <t>없음(현장 확인)</t>
        </is>
      </c>
      <c r="F75" s="4" t="inlineStr">
        <is>
          <t>공급기 설정 대비 실적 비교 / 석고 호퍼 막힘·수분 확인 / 공급기 실부하 교정</t>
        </is>
      </c>
      <c r="G75" s="4" t="inlineStr">
        <is>
          <t>공급기 점검·설정 복귀 / SO₃ 분석 주기 단축(1시간)</t>
        </is>
      </c>
      <c r="H75" s="4" t="inlineStr">
        <is>
          <t>공급기 편차 알람·정기 교정 / SO₃ 온라인 제어 루프 구축</t>
        </is>
      </c>
      <c r="I75" s="4" t="inlineStr">
        <is>
          <t>경험칙</t>
        </is>
      </c>
      <c r="J75" s="4" t="inlineStr">
        <is>
          <t>설비</t>
        </is>
      </c>
      <c r="K75" s="4" t="n">
        <v>1.3</v>
      </c>
    </row>
    <row r="76">
      <c r="A76" s="4" t="inlineStr">
        <is>
          <t>시멘트 SO₃ 부족</t>
        </is>
      </c>
      <c r="B76" s="4" t="inlineStr">
        <is>
          <t>원료</t>
        </is>
      </c>
      <c r="C76" s="4" t="inlineStr">
        <is>
          <t>석고 품위(순도) 변동</t>
        </is>
      </c>
      <c r="D76" s="4" t="inlineStr">
        <is>
          <t>천연석고·배연탈황석고 혼용 비율이나 순도 변화로 같은 투입량에서도 SO₃가 달라진다.</t>
        </is>
      </c>
      <c r="E76" s="4" t="inlineStr">
        <is>
          <t>없음(현장 확인)</t>
        </is>
      </c>
      <c r="F76" s="4" t="inlineStr">
        <is>
          <t>석고 입고 분석(SO₃·결정수) / 석고 혼용 비율 확인</t>
        </is>
      </c>
      <c r="G76" s="4" t="inlineStr">
        <is>
          <t>석고 투입량 보정</t>
        </is>
      </c>
      <c r="H76" s="4" t="inlineStr">
        <is>
          <t>석고 입고 검사 기준·혼용 비율 관리</t>
        </is>
      </c>
      <c r="I76" s="4" t="inlineStr">
        <is>
          <t>경험칙</t>
        </is>
      </c>
      <c r="J76" s="4" t="inlineStr">
        <is>
          <t>품질</t>
        </is>
      </c>
      <c r="K76" s="4" t="n">
        <v>0.8</v>
      </c>
    </row>
    <row r="77">
      <c r="A77" s="4" t="inlineStr">
        <is>
          <t>시멘트 SO₃ 부족</t>
        </is>
      </c>
      <c r="B77" s="4" t="inlineStr">
        <is>
          <t>화학</t>
        </is>
      </c>
      <c r="C77" s="4" t="inlineStr">
        <is>
          <t>클링커 SO₃ 감소(연료 황분·휘발)</t>
        </is>
      </c>
      <c r="D77" s="4" t="inlineStr">
        <is>
          <t>연료 황분 증가나 소성 분위기 변화로 클링커 SO₃가 변하면 시멘트 SO₃도 변한다.</t>
        </is>
      </c>
      <c r="E77" s="4" t="inlineStr">
        <is>
          <t>클링커 SO₃↓</t>
        </is>
      </c>
      <c r="F77" s="4" t="inlineStr">
        <is>
          <t>클링커 SO₃·연료 황분 확인</t>
        </is>
      </c>
      <c r="G77" s="4" t="inlineStr">
        <is>
          <t>석고 투입량 보정</t>
        </is>
      </c>
      <c r="H77" s="4" t="inlineStr">
        <is>
          <t>클링커 SO₃를 반영한 석고 투입 제어</t>
        </is>
      </c>
      <c r="I77" s="4" t="inlineStr">
        <is>
          <t>이론</t>
        </is>
      </c>
      <c r="J77" s="4" t="inlineStr">
        <is>
          <t>품질</t>
        </is>
      </c>
      <c r="K77" s="4" t="n">
        <v>0.6</v>
      </c>
    </row>
    <row r="78">
      <c r="A78" s="4" t="inlineStr">
        <is>
          <t>시멘트 SO₃ 부족</t>
        </is>
      </c>
      <c r="B78" s="4" t="inlineStr">
        <is>
          <t>시험오차</t>
        </is>
      </c>
      <c r="C78" s="4" t="inlineStr">
        <is>
          <t>SO₃ 분석·시료 채취 오차</t>
        </is>
      </c>
      <c r="D78" s="4" t="inlineStr">
        <is>
          <t>단발성 이탈이면서 연관 항목에 변화가 없으면 시료 대표성·분석 오차 가능성이 높다.</t>
        </is>
      </c>
      <c r="E78" s="4" t="inlineStr">
        <is>
          <t>이벤트 단발성↑</t>
        </is>
      </c>
      <c r="F78" s="4" t="inlineStr">
        <is>
          <t>동일 시료 재분석(이중 분석) / 표준시료(CRM)로 분석기 점검 / 시료 채취 위치·방법 확인</t>
        </is>
      </c>
      <c r="G78" s="4" t="inlineStr">
        <is>
          <t>재분석 결과로 판정 확정 / 재분석 전까지 조치는 보류하되 다음 시료 채취 주기 단축</t>
        </is>
      </c>
      <c r="H78" s="4" t="inlineStr">
        <is>
          <t>분석기 일상 점검(표준시료 관리도) 운영 / 시료 채취 절차서 정비</t>
        </is>
      </c>
      <c r="I78" s="4" t="inlineStr">
        <is>
          <t>경험칙</t>
        </is>
      </c>
      <c r="J78" s="4" t="inlineStr">
        <is>
          <t>품질(시험실)</t>
        </is>
      </c>
      <c r="K78" s="4" t="n">
        <v>0.5</v>
      </c>
    </row>
    <row r="79">
      <c r="A79" s="4" t="inlineStr">
        <is>
          <t>시멘트 분말도(Blaine) 저하</t>
        </is>
      </c>
      <c r="B79" s="4" t="inlineStr">
        <is>
          <t>설비</t>
        </is>
      </c>
      <c r="C79" s="4" t="inlineStr">
        <is>
          <t>세퍼레이터 분급 성능 저하</t>
        </is>
      </c>
      <c r="D79" s="4" t="inlineStr">
        <is>
          <t>로터 속도 저하·블레이드 마모·풍량 변화 시 조립자가 제품으로 넘어가 분말도↓·45μm 잔사↑.</t>
        </is>
      </c>
      <c r="E79" s="4" t="inlineStr">
        <is>
          <t>시멘트 45μm 잔사↑</t>
        </is>
      </c>
      <c r="F79" s="4" t="inlineStr">
        <is>
          <t>세퍼레이터 rpm·풍량·차압 확인 / 로터 블레이드 마모 점검 / 제품·리젝트 입도 비교(Tromp 곡선)</t>
        </is>
      </c>
      <c r="G79" s="4" t="inlineStr">
        <is>
          <t>세퍼레이터 속도 상향·풍량 조정 / 분말도 회복까지 출하 품질 확인 강화</t>
        </is>
      </c>
      <c r="H79" s="4" t="inlineStr">
        <is>
          <t>세퍼레이터 예방정비 주기 수립 / 분급 효율 정기 평가(Tromp 곡선)</t>
        </is>
      </c>
      <c r="I79" s="4" t="inlineStr">
        <is>
          <t>경험칙</t>
        </is>
      </c>
      <c r="J79" s="4" t="inlineStr">
        <is>
          <t>설비</t>
        </is>
      </c>
      <c r="K79" s="4" t="n">
        <v>1.2</v>
      </c>
    </row>
    <row r="80">
      <c r="A80" s="4" t="inlineStr">
        <is>
          <t>시멘트 분말도(Blaine) 저하</t>
        </is>
      </c>
      <c r="B80" s="4" t="inlineStr">
        <is>
          <t>공정</t>
        </is>
      </c>
      <c r="C80" s="4" t="inlineStr">
        <is>
          <t>밀 투입량 과다</t>
        </is>
      </c>
      <c r="D80" s="4" t="inlineStr">
        <is>
          <t>투입량을 늘리면 체류시간이 짧아져 분말도가 낮아진다.</t>
        </is>
      </c>
      <c r="E80" s="4" t="inlineStr">
        <is>
          <t>시멘트밀 투입량↑</t>
        </is>
      </c>
      <c r="F80" s="4" t="inlineStr">
        <is>
          <t>투입량 변경 이력 확인</t>
        </is>
      </c>
      <c r="G80" s="4" t="inlineStr">
        <is>
          <t>투입량 원복</t>
        </is>
      </c>
      <c r="H80" s="4" t="inlineStr">
        <is>
          <t>분말도-투입량 연동 제어</t>
        </is>
      </c>
      <c r="I80" s="4" t="inlineStr">
        <is>
          <t>이론</t>
        </is>
      </c>
      <c r="J80" s="4" t="inlineStr">
        <is>
          <t>생산(분쇄)</t>
        </is>
      </c>
      <c r="K80" s="4" t="n">
        <v>0.9</v>
      </c>
    </row>
    <row r="81">
      <c r="A81" s="4" t="inlineStr">
        <is>
          <t>시멘트 분말도(Blaine) 저하</t>
        </is>
      </c>
      <c r="B81" s="4" t="inlineStr">
        <is>
          <t>설비</t>
        </is>
      </c>
      <c r="C81" s="4" t="inlineStr">
        <is>
          <t>분쇄 매체(볼) 마모·충진율 저하</t>
        </is>
      </c>
      <c r="D81" s="4" t="inlineStr">
        <is>
          <t>볼 마모로 충진율·크기 분포가 변하면 분쇄 효율이 떨어진다.</t>
        </is>
      </c>
      <c r="E81" s="4" t="inlineStr">
        <is>
          <t>없음(현장 확인)</t>
        </is>
      </c>
      <c r="F81" s="4" t="inlineStr">
        <is>
          <t>밀 전력 원단위 추이 / 볼 충진율 측정(정지 시) / 밀 내부 다이어프램 막힘 점검</t>
        </is>
      </c>
      <c r="G81" s="4" t="inlineStr">
        <is>
          <t>볼 보충 계획 앞당김</t>
        </is>
      </c>
      <c r="H81" s="4" t="inlineStr">
        <is>
          <t>볼 충진·분급 관리 기준 수립</t>
        </is>
      </c>
      <c r="I81" s="4" t="inlineStr">
        <is>
          <t>경험칙</t>
        </is>
      </c>
      <c r="J81" s="4" t="inlineStr">
        <is>
          <t>설비</t>
        </is>
      </c>
      <c r="K81" s="4" t="n">
        <v>0.8</v>
      </c>
    </row>
    <row r="82">
      <c r="A82" s="4" t="inlineStr">
        <is>
          <t>시멘트 분말도(Blaine) 저하</t>
        </is>
      </c>
      <c r="B82" s="4" t="inlineStr">
        <is>
          <t>원료</t>
        </is>
      </c>
      <c r="C82" s="4" t="inlineStr">
        <is>
          <t>클링커 분쇄성 저하(과소성·벨라이트↑)</t>
        </is>
      </c>
      <c r="D82" s="4" t="inlineStr">
        <is>
          <t>과소성(조밀) 클링커나 C₂S가 많은 클링커는 분쇄가 어렵다.</t>
        </is>
      </c>
      <c r="E82" s="4" t="inlineStr">
        <is>
          <t>클링커 리터중량↑, 클링커 C₂S↑</t>
        </is>
      </c>
      <c r="F82" s="4" t="inlineStr">
        <is>
          <t>클링커 리터중량·C₂S 확인 / 밀 전력 원단위 확인</t>
        </is>
      </c>
      <c r="G82" s="4" t="inlineStr">
        <is>
          <t>분쇄조제 투입 검토</t>
        </is>
      </c>
      <c r="H82" s="4" t="inlineStr">
        <is>
          <t>클링커 품질 목표(리터중량·C₂S) 관리</t>
        </is>
      </c>
      <c r="I82" s="4" t="inlineStr">
        <is>
          <t>경험칙</t>
        </is>
      </c>
      <c r="J82" s="4" t="inlineStr">
        <is>
          <t>생산(소성)</t>
        </is>
      </c>
      <c r="K82" s="4" t="n">
        <v>0.5</v>
      </c>
    </row>
    <row r="83">
      <c r="A83" s="4" t="inlineStr">
        <is>
          <t>시멘트 분말도(Blaine) 저하</t>
        </is>
      </c>
      <c r="B83" s="4" t="inlineStr">
        <is>
          <t>시험오차</t>
        </is>
      </c>
      <c r="C83" s="4" t="inlineStr">
        <is>
          <t>분말도 분석·시료 채취 오차</t>
        </is>
      </c>
      <c r="D83" s="4" t="inlineStr">
        <is>
          <t>단발성 이탈이면서 연관 항목에 변화가 없으면 시료 대표성·분석 오차 가능성이 높다.</t>
        </is>
      </c>
      <c r="E83" s="4" t="inlineStr">
        <is>
          <t>이벤트 단발성↑</t>
        </is>
      </c>
      <c r="F83" s="4" t="inlineStr">
        <is>
          <t>동일 시료 재분석(이중 분석) / 표준시료(CRM)로 분석기 점검 / 시료 채취 위치·방법 확인</t>
        </is>
      </c>
      <c r="G83" s="4" t="inlineStr">
        <is>
          <t>재분석 결과로 판정 확정 / 재분석 전까지 조치는 보류하되 다음 시료 채취 주기 단축</t>
        </is>
      </c>
      <c r="H83" s="4" t="inlineStr">
        <is>
          <t>분석기 일상 점검(표준시료 관리도) 운영 / 시료 채취 절차서 정비</t>
        </is>
      </c>
      <c r="I83" s="4" t="inlineStr">
        <is>
          <t>경험칙</t>
        </is>
      </c>
      <c r="J83" s="4" t="inlineStr">
        <is>
          <t>품질(시험실)</t>
        </is>
      </c>
      <c r="K83" s="4" t="n">
        <v>0.5</v>
      </c>
    </row>
    <row r="84">
      <c r="A84" s="4" t="inlineStr">
        <is>
          <t>초결 시간 지연</t>
        </is>
      </c>
      <c r="B84" s="4" t="inlineStr">
        <is>
          <t>화학</t>
        </is>
      </c>
      <c r="C84" s="4" t="inlineStr">
        <is>
          <t>SO₃ 과다</t>
        </is>
      </c>
      <c r="D84" s="4" t="inlineStr">
        <is>
          <t>석고(SO₃) 증가는 C₃A 수화를 억제해 응결을 지연시킨다.</t>
        </is>
      </c>
      <c r="E84" s="4" t="inlineStr">
        <is>
          <t>시멘트 SO₃↑</t>
        </is>
      </c>
      <c r="F84" s="4" t="inlineStr">
        <is>
          <t>SO₃ 재분석</t>
        </is>
      </c>
      <c r="G84" s="4" t="inlineStr">
        <is>
          <t>석고 투입량 보정</t>
        </is>
      </c>
      <c r="H84" s="4" t="inlineStr">
        <is>
          <t>품종별 SO₃ 최적치 관리</t>
        </is>
      </c>
      <c r="I84" s="4" t="inlineStr">
        <is>
          <t>이론</t>
        </is>
      </c>
      <c r="J84" s="4" t="inlineStr">
        <is>
          <t>생산(분쇄)</t>
        </is>
      </c>
      <c r="K84" s="4" t="n">
        <v>1.1</v>
      </c>
    </row>
    <row r="85">
      <c r="A85" s="4" t="inlineStr">
        <is>
          <t>초결 시간 지연</t>
        </is>
      </c>
      <c r="B85" s="4" t="inlineStr">
        <is>
          <t>공정</t>
        </is>
      </c>
      <c r="C85" s="4" t="inlineStr">
        <is>
          <t>분말도 저하</t>
        </is>
      </c>
      <c r="D85" s="4" t="inlineStr">
        <is>
          <t>분말도가 낮으면 수화가 느려 응결이 지연된다.</t>
        </is>
      </c>
      <c r="E85" s="4" t="inlineStr">
        <is>
          <t>시멘트 분말도(Blaine)↓</t>
        </is>
      </c>
      <c r="F85" s="4" t="inlineStr">
        <is>
          <t>Blaine 재측정</t>
        </is>
      </c>
      <c r="G85" s="4" t="inlineStr">
        <is>
          <t>분말도 회복</t>
        </is>
      </c>
      <c r="H85" s="4" t="inlineStr">
        <is>
          <t>분말도 관리 강화</t>
        </is>
      </c>
      <c r="I85" s="4" t="inlineStr">
        <is>
          <t>이론</t>
        </is>
      </c>
      <c r="J85" s="4" t="inlineStr">
        <is>
          <t>생산(분쇄)</t>
        </is>
      </c>
      <c r="K85" s="4" t="n">
        <v>0.9</v>
      </c>
    </row>
    <row r="86">
      <c r="A86" s="4" t="inlineStr">
        <is>
          <t>초결 시간 지연</t>
        </is>
      </c>
      <c r="B86" s="4" t="inlineStr">
        <is>
          <t>원료</t>
        </is>
      </c>
      <c r="C86" s="4" t="inlineStr">
        <is>
          <t>분쇄조제·유기물 과다</t>
        </is>
      </c>
      <c r="D86" s="4" t="inlineStr">
        <is>
          <t>분쇄조제 과다 투입이나 유기물 혼입은 응결을 지연시킬 수 있다.</t>
        </is>
      </c>
      <c r="E86" s="4" t="inlineStr">
        <is>
          <t>없음(현장 확인)</t>
        </is>
      </c>
      <c r="F86" s="4" t="inlineStr">
        <is>
          <t>분쇄조제 투입량 확인</t>
        </is>
      </c>
      <c r="G86" s="4" t="inlineStr">
        <is>
          <t>분쇄조제 투입량 복귀</t>
        </is>
      </c>
      <c r="H86" s="4" t="inlineStr">
        <is>
          <t>분쇄조제 투입 관리 기준</t>
        </is>
      </c>
      <c r="I86" s="4" t="inlineStr">
        <is>
          <t>경험칙</t>
        </is>
      </c>
      <c r="J86" s="4" t="inlineStr">
        <is>
          <t>생산(분쇄)</t>
        </is>
      </c>
      <c r="K86" s="4" t="n">
        <v>0.5</v>
      </c>
    </row>
    <row r="87">
      <c r="A87" s="4" t="inlineStr">
        <is>
          <t>초결 시간 지연</t>
        </is>
      </c>
      <c r="B87" s="4" t="inlineStr">
        <is>
          <t>시험오차</t>
        </is>
      </c>
      <c r="C87" s="4" t="inlineStr">
        <is>
          <t>시험 온도·표준주도 조건</t>
        </is>
      </c>
      <c r="D87" s="4" t="inlineStr">
        <is>
          <t>시험실 온도가 낮거나 표준주도 수량이 많으면 응결이 길게 측정된다.</t>
        </is>
      </c>
      <c r="E87" s="4" t="inlineStr">
        <is>
          <t>시험실 온도↓, 시험실 온도 기준 이탈</t>
        </is>
      </c>
      <c r="F87" s="4" t="inlineStr">
        <is>
          <t>시험실 온도·표준주도 수량 확인 / 재시험</t>
        </is>
      </c>
      <c r="G87" s="4" t="inlineStr">
        <is>
          <t>재시험으로 확정</t>
        </is>
      </c>
      <c r="H87" s="4" t="inlineStr">
        <is>
          <t>시험조건 기록 자동화</t>
        </is>
      </c>
      <c r="I87" s="4" t="inlineStr">
        <is>
          <t>규격+경험칙</t>
        </is>
      </c>
      <c r="J87" s="4" t="inlineStr">
        <is>
          <t>품질(시험실)</t>
        </is>
      </c>
      <c r="K87" s="4" t="n">
        <v>0.6</v>
      </c>
    </row>
    <row r="88">
      <c r="A88" s="4" t="inlineStr">
        <is>
          <t>초결 시간 단축</t>
        </is>
      </c>
      <c r="B88" s="4" t="inlineStr">
        <is>
          <t>화학</t>
        </is>
      </c>
      <c r="C88" s="4" t="inlineStr">
        <is>
          <t>SO₃ 부족</t>
        </is>
      </c>
      <c r="D88" s="4" t="inlineStr">
        <is>
          <t>석고가 부족하면 C₃A가 급격히 수화해 응결이 빨라진다.</t>
        </is>
      </c>
      <c r="E88" s="4" t="inlineStr">
        <is>
          <t>시멘트 SO₃↓</t>
        </is>
      </c>
      <c r="F88" s="4" t="inlineStr">
        <is>
          <t>SO₃ 재분석</t>
        </is>
      </c>
      <c r="G88" s="4" t="inlineStr">
        <is>
          <t>석고 투입량 보정</t>
        </is>
      </c>
      <c r="H88" s="4" t="inlineStr">
        <is>
          <t>품종별 SO₃ 최적치 관리</t>
        </is>
      </c>
      <c r="I88" s="4" t="inlineStr">
        <is>
          <t>이론</t>
        </is>
      </c>
      <c r="J88" s="4" t="inlineStr">
        <is>
          <t>생산(분쇄)</t>
        </is>
      </c>
      <c r="K88" s="4" t="n">
        <v>1.1</v>
      </c>
    </row>
    <row r="89">
      <c r="A89" s="4" t="inlineStr">
        <is>
          <t>초결 시간 단축</t>
        </is>
      </c>
      <c r="B89" s="4" t="inlineStr">
        <is>
          <t>공정</t>
        </is>
      </c>
      <c r="C89" s="4" t="inlineStr">
        <is>
          <t>밀 출구 온도 과고(석고 탈수 → 위응결)</t>
        </is>
      </c>
      <c r="D89" s="4" t="inlineStr">
        <is>
          <t>밀 온도가 높으면 이수석고가 반수석고로 탈수되어 위응결(false set)이 생길 수 있다.</t>
        </is>
      </c>
      <c r="E89" s="4" t="inlineStr">
        <is>
          <t>시멘트밀 출구 온도↑</t>
        </is>
      </c>
      <c r="F89" s="4" t="inlineStr">
        <is>
          <t>밀 출구 온도·살수량 확인</t>
        </is>
      </c>
      <c r="G89" s="4" t="inlineStr">
        <is>
          <t>밀 살수·냉각 강화</t>
        </is>
      </c>
      <c r="H89" s="4" t="inlineStr">
        <is>
          <t>밀 온도 상한 관리(예: 120 ℃)</t>
        </is>
      </c>
      <c r="I89" s="4" t="inlineStr">
        <is>
          <t>문헌+경험칙</t>
        </is>
      </c>
      <c r="J89" s="4" t="inlineStr">
        <is>
          <t>생산(분쇄)</t>
        </is>
      </c>
      <c r="K89" s="4" t="n">
        <v>0.8</v>
      </c>
    </row>
    <row r="90">
      <c r="A90" s="4" t="inlineStr">
        <is>
          <t>초결 시간 단축</t>
        </is>
      </c>
      <c r="B90" s="4" t="inlineStr">
        <is>
          <t>화학</t>
        </is>
      </c>
      <c r="C90" s="4" t="inlineStr">
        <is>
          <t>C₃A 증가</t>
        </is>
      </c>
      <c r="D90" s="4" t="inlineStr">
        <is>
          <t>C₃A가 많으면 초기 수화가 빨라 응결이 짧아진다.</t>
        </is>
      </c>
      <c r="E90" s="4" t="inlineStr">
        <is>
          <t>클링커 C₃A(Bogue)↑</t>
        </is>
      </c>
      <c r="F90" s="4" t="inlineStr">
        <is>
          <t>클링커 Al₂O₃·Fe₂O₃(IM) 확인</t>
        </is>
      </c>
      <c r="G90" s="4" t="inlineStr">
        <is>
          <t>SO₃ 상향 검토</t>
        </is>
      </c>
      <c r="H90" s="4" t="inlineStr">
        <is>
          <t>IM 목표 관리</t>
        </is>
      </c>
      <c r="I90" s="4" t="inlineStr">
        <is>
          <t>이론</t>
        </is>
      </c>
      <c r="J90" s="4" t="inlineStr">
        <is>
          <t>품질</t>
        </is>
      </c>
      <c r="K90" s="4" t="n">
        <v>0.7</v>
      </c>
    </row>
    <row r="91">
      <c r="A91" s="4" t="inlineStr">
        <is>
          <t>초결 시간 단축</t>
        </is>
      </c>
      <c r="B91" s="4" t="inlineStr">
        <is>
          <t>공정</t>
        </is>
      </c>
      <c r="C91" s="4" t="inlineStr">
        <is>
          <t>분말도 과다</t>
        </is>
      </c>
      <c r="D91" s="4" t="inlineStr">
        <is>
          <t>분말도가 높으면 수화가 빨라 응결이 짧아진다.</t>
        </is>
      </c>
      <c r="E91" s="4" t="inlineStr">
        <is>
          <t>시멘트 분말도(Blaine)↑</t>
        </is>
      </c>
      <c r="F91" s="4" t="inlineStr">
        <is>
          <t>Blaine 재측정</t>
        </is>
      </c>
      <c r="G91" s="4" t="inlineStr">
        <is>
          <t>분말도 조정</t>
        </is>
      </c>
      <c r="H91" s="4" t="inlineStr">
        <is>
          <t>분말도 관리 범위 준수</t>
        </is>
      </c>
      <c r="I91" s="4" t="inlineStr">
        <is>
          <t>이론</t>
        </is>
      </c>
      <c r="J91" s="4" t="inlineStr">
        <is>
          <t>생산(분쇄)</t>
        </is>
      </c>
      <c r="K91" s="4" t="n">
        <v>0.6</v>
      </c>
    </row>
    <row r="92">
      <c r="A92" s="4" t="inlineStr">
        <is>
          <t>초결 시간 단축</t>
        </is>
      </c>
      <c r="B92" s="4" t="inlineStr">
        <is>
          <t>시험오차</t>
        </is>
      </c>
      <c r="C92" s="4" t="inlineStr">
        <is>
          <t>시험 온도·표준주도 조건</t>
        </is>
      </c>
      <c r="D92" s="4" t="inlineStr">
        <is>
          <t>시험실 온도가 높으면 응결이 짧게 측정된다.</t>
        </is>
      </c>
      <c r="E92" s="4" t="inlineStr">
        <is>
          <t>시험실 온도↑, 시험실 온도 기준 이탈</t>
        </is>
      </c>
      <c r="F92" s="4" t="inlineStr">
        <is>
          <t>시험실 온도 확인 / 재시험</t>
        </is>
      </c>
      <c r="G92" s="4" t="inlineStr">
        <is>
          <t>재시험으로 확정</t>
        </is>
      </c>
      <c r="H92" s="4" t="inlineStr">
        <is>
          <t>시험조건 기록 자동화</t>
        </is>
      </c>
      <c r="I92" s="4" t="inlineStr">
        <is>
          <t>규격+경험칙</t>
        </is>
      </c>
      <c r="J92" s="4" t="inlineStr">
        <is>
          <t>품질(시험실)</t>
        </is>
      </c>
      <c r="K92" s="4" t="n">
        <v>0.6</v>
      </c>
    </row>
    <row r="93">
      <c r="A93" s="4" t="inlineStr">
        <is>
          <t>종결 시간 지연</t>
        </is>
      </c>
      <c r="B93" s="4" t="inlineStr">
        <is>
          <t>화학</t>
        </is>
      </c>
      <c r="C93" s="4" t="inlineStr">
        <is>
          <t>SO₃ 과다</t>
        </is>
      </c>
      <c r="D93" s="4" t="inlineStr">
        <is>
          <t>석고(SO₃) 증가는 C₃A 수화를 억제해 응결을 지연시킨다.</t>
        </is>
      </c>
      <c r="E93" s="4" t="inlineStr">
        <is>
          <t>시멘트 SO₃↑</t>
        </is>
      </c>
      <c r="F93" s="4" t="inlineStr">
        <is>
          <t>SO₃ 재분석</t>
        </is>
      </c>
      <c r="G93" s="4" t="inlineStr">
        <is>
          <t>석고 투입량 보정</t>
        </is>
      </c>
      <c r="H93" s="4" t="inlineStr">
        <is>
          <t>품종별 SO₃ 최적치 관리</t>
        </is>
      </c>
      <c r="I93" s="4" t="inlineStr">
        <is>
          <t>이론</t>
        </is>
      </c>
      <c r="J93" s="4" t="inlineStr">
        <is>
          <t>생산(분쇄)</t>
        </is>
      </c>
      <c r="K93" s="4" t="n">
        <v>1.1</v>
      </c>
    </row>
    <row r="94">
      <c r="A94" s="4" t="inlineStr">
        <is>
          <t>종결 시간 지연</t>
        </is>
      </c>
      <c r="B94" s="4" t="inlineStr">
        <is>
          <t>공정</t>
        </is>
      </c>
      <c r="C94" s="4" t="inlineStr">
        <is>
          <t>분말도 저하</t>
        </is>
      </c>
      <c r="D94" s="4" t="inlineStr">
        <is>
          <t>분말도가 낮으면 수화가 느려 응결이 지연된다.</t>
        </is>
      </c>
      <c r="E94" s="4" t="inlineStr">
        <is>
          <t>시멘트 분말도(Blaine)↓</t>
        </is>
      </c>
      <c r="F94" s="4" t="inlineStr">
        <is>
          <t>Blaine 재측정</t>
        </is>
      </c>
      <c r="G94" s="4" t="inlineStr">
        <is>
          <t>분말도 회복</t>
        </is>
      </c>
      <c r="H94" s="4" t="inlineStr">
        <is>
          <t>분말도 관리 강화</t>
        </is>
      </c>
      <c r="I94" s="4" t="inlineStr">
        <is>
          <t>이론</t>
        </is>
      </c>
      <c r="J94" s="4" t="inlineStr">
        <is>
          <t>생산(분쇄)</t>
        </is>
      </c>
      <c r="K94" s="4" t="n">
        <v>0.9</v>
      </c>
    </row>
    <row r="95">
      <c r="A95" s="4" t="inlineStr">
        <is>
          <t>종결 시간 지연</t>
        </is>
      </c>
      <c r="B95" s="4" t="inlineStr">
        <is>
          <t>원료</t>
        </is>
      </c>
      <c r="C95" s="4" t="inlineStr">
        <is>
          <t>분쇄조제·유기물 과다</t>
        </is>
      </c>
      <c r="D95" s="4" t="inlineStr">
        <is>
          <t>분쇄조제 과다 투입이나 유기물 혼입은 응결을 지연시킬 수 있다.</t>
        </is>
      </c>
      <c r="E95" s="4" t="inlineStr">
        <is>
          <t>없음(현장 확인)</t>
        </is>
      </c>
      <c r="F95" s="4" t="inlineStr">
        <is>
          <t>분쇄조제 투입량 확인</t>
        </is>
      </c>
      <c r="G95" s="4" t="inlineStr">
        <is>
          <t>분쇄조제 투입량 복귀</t>
        </is>
      </c>
      <c r="H95" s="4" t="inlineStr">
        <is>
          <t>분쇄조제 투입 관리 기준</t>
        </is>
      </c>
      <c r="I95" s="4" t="inlineStr">
        <is>
          <t>경험칙</t>
        </is>
      </c>
      <c r="J95" s="4" t="inlineStr">
        <is>
          <t>생산(분쇄)</t>
        </is>
      </c>
      <c r="K95" s="4" t="n">
        <v>0.5</v>
      </c>
    </row>
    <row r="96">
      <c r="A96" s="4" t="inlineStr">
        <is>
          <t>종결 시간 지연</t>
        </is>
      </c>
      <c r="B96" s="4" t="inlineStr">
        <is>
          <t>시험오차</t>
        </is>
      </c>
      <c r="C96" s="4" t="inlineStr">
        <is>
          <t>시험 온도·표준주도 조건</t>
        </is>
      </c>
      <c r="D96" s="4" t="inlineStr">
        <is>
          <t>시험실 온도가 낮거나 표준주도 수량이 많으면 응결이 길게 측정된다.</t>
        </is>
      </c>
      <c r="E96" s="4" t="inlineStr">
        <is>
          <t>시험실 온도↓, 시험실 온도 기준 이탈</t>
        </is>
      </c>
      <c r="F96" s="4" t="inlineStr">
        <is>
          <t>시험실 온도·표준주도 수량 확인 / 재시험</t>
        </is>
      </c>
      <c r="G96" s="4" t="inlineStr">
        <is>
          <t>재시험으로 확정</t>
        </is>
      </c>
      <c r="H96" s="4" t="inlineStr">
        <is>
          <t>시험조건 기록 자동화</t>
        </is>
      </c>
      <c r="I96" s="4" t="inlineStr">
        <is>
          <t>규격+경험칙</t>
        </is>
      </c>
      <c r="J96" s="4" t="inlineStr">
        <is>
          <t>품질(시험실)</t>
        </is>
      </c>
      <c r="K96" s="4" t="n">
        <v>0.6</v>
      </c>
    </row>
    <row r="97">
      <c r="A97" s="4" t="inlineStr">
        <is>
          <t>종결 시간 단축</t>
        </is>
      </c>
      <c r="B97" s="4" t="inlineStr">
        <is>
          <t>화학</t>
        </is>
      </c>
      <c r="C97" s="4" t="inlineStr">
        <is>
          <t>SO₃ 부족</t>
        </is>
      </c>
      <c r="D97" s="4" t="inlineStr">
        <is>
          <t>석고가 부족하면 C₃A가 급격히 수화해 응결이 빨라진다.</t>
        </is>
      </c>
      <c r="E97" s="4" t="inlineStr">
        <is>
          <t>시멘트 SO₃↓</t>
        </is>
      </c>
      <c r="F97" s="4" t="inlineStr">
        <is>
          <t>SO₃ 재분석</t>
        </is>
      </c>
      <c r="G97" s="4" t="inlineStr">
        <is>
          <t>석고 투입량 보정</t>
        </is>
      </c>
      <c r="H97" s="4" t="inlineStr">
        <is>
          <t>품종별 SO₃ 최적치 관리</t>
        </is>
      </c>
      <c r="I97" s="4" t="inlineStr">
        <is>
          <t>이론</t>
        </is>
      </c>
      <c r="J97" s="4" t="inlineStr">
        <is>
          <t>생산(분쇄)</t>
        </is>
      </c>
      <c r="K97" s="4" t="n">
        <v>1.1</v>
      </c>
    </row>
    <row r="98">
      <c r="A98" s="4" t="inlineStr">
        <is>
          <t>종결 시간 단축</t>
        </is>
      </c>
      <c r="B98" s="4" t="inlineStr">
        <is>
          <t>공정</t>
        </is>
      </c>
      <c r="C98" s="4" t="inlineStr">
        <is>
          <t>밀 출구 온도 과고(석고 탈수 → 위응결)</t>
        </is>
      </c>
      <c r="D98" s="4" t="inlineStr">
        <is>
          <t>밀 온도가 높으면 이수석고가 반수석고로 탈수되어 위응결(false set)이 생길 수 있다.</t>
        </is>
      </c>
      <c r="E98" s="4" t="inlineStr">
        <is>
          <t>시멘트밀 출구 온도↑</t>
        </is>
      </c>
      <c r="F98" s="4" t="inlineStr">
        <is>
          <t>밀 출구 온도·살수량 확인</t>
        </is>
      </c>
      <c r="G98" s="4" t="inlineStr">
        <is>
          <t>밀 살수·냉각 강화</t>
        </is>
      </c>
      <c r="H98" s="4" t="inlineStr">
        <is>
          <t>밀 온도 상한 관리(예: 120 ℃)</t>
        </is>
      </c>
      <c r="I98" s="4" t="inlineStr">
        <is>
          <t>문헌+경험칙</t>
        </is>
      </c>
      <c r="J98" s="4" t="inlineStr">
        <is>
          <t>생산(분쇄)</t>
        </is>
      </c>
      <c r="K98" s="4" t="n">
        <v>0.8</v>
      </c>
    </row>
    <row r="99">
      <c r="A99" s="4" t="inlineStr">
        <is>
          <t>종결 시간 단축</t>
        </is>
      </c>
      <c r="B99" s="4" t="inlineStr">
        <is>
          <t>화학</t>
        </is>
      </c>
      <c r="C99" s="4" t="inlineStr">
        <is>
          <t>C₃A 증가</t>
        </is>
      </c>
      <c r="D99" s="4" t="inlineStr">
        <is>
          <t>C₃A가 많으면 초기 수화가 빨라 응결이 짧아진다.</t>
        </is>
      </c>
      <c r="E99" s="4" t="inlineStr">
        <is>
          <t>클링커 C₃A(Bogue)↑</t>
        </is>
      </c>
      <c r="F99" s="4" t="inlineStr">
        <is>
          <t>클링커 Al₂O₃·Fe₂O₃(IM) 확인</t>
        </is>
      </c>
      <c r="G99" s="4" t="inlineStr">
        <is>
          <t>SO₃ 상향 검토</t>
        </is>
      </c>
      <c r="H99" s="4" t="inlineStr">
        <is>
          <t>IM 목표 관리</t>
        </is>
      </c>
      <c r="I99" s="4" t="inlineStr">
        <is>
          <t>이론</t>
        </is>
      </c>
      <c r="J99" s="4" t="inlineStr">
        <is>
          <t>품질</t>
        </is>
      </c>
      <c r="K99" s="4" t="n">
        <v>0.7</v>
      </c>
    </row>
    <row r="100">
      <c r="A100" s="4" t="inlineStr">
        <is>
          <t>종결 시간 단축</t>
        </is>
      </c>
      <c r="B100" s="4" t="inlineStr">
        <is>
          <t>공정</t>
        </is>
      </c>
      <c r="C100" s="4" t="inlineStr">
        <is>
          <t>분말도 과다</t>
        </is>
      </c>
      <c r="D100" s="4" t="inlineStr">
        <is>
          <t>분말도가 높으면 수화가 빨라 응결이 짧아진다.</t>
        </is>
      </c>
      <c r="E100" s="4" t="inlineStr">
        <is>
          <t>시멘트 분말도(Blaine)↑</t>
        </is>
      </c>
      <c r="F100" s="4" t="inlineStr">
        <is>
          <t>Blaine 재측정</t>
        </is>
      </c>
      <c r="G100" s="4" t="inlineStr">
        <is>
          <t>분말도 조정</t>
        </is>
      </c>
      <c r="H100" s="4" t="inlineStr">
        <is>
          <t>분말도 관리 범위 준수</t>
        </is>
      </c>
      <c r="I100" s="4" t="inlineStr">
        <is>
          <t>이론</t>
        </is>
      </c>
      <c r="J100" s="4" t="inlineStr">
        <is>
          <t>생산(분쇄)</t>
        </is>
      </c>
      <c r="K100" s="4" t="n">
        <v>0.6</v>
      </c>
    </row>
    <row r="101">
      <c r="A101" s="4" t="inlineStr">
        <is>
          <t>종결 시간 단축</t>
        </is>
      </c>
      <c r="B101" s="4" t="inlineStr">
        <is>
          <t>시험오차</t>
        </is>
      </c>
      <c r="C101" s="4" t="inlineStr">
        <is>
          <t>시험 온도·표준주도 조건</t>
        </is>
      </c>
      <c r="D101" s="4" t="inlineStr">
        <is>
          <t>시험실 온도가 높으면 응결이 짧게 측정된다.</t>
        </is>
      </c>
      <c r="E101" s="4" t="inlineStr">
        <is>
          <t>시험실 온도↑, 시험실 온도 기준 이탈</t>
        </is>
      </c>
      <c r="F101" s="4" t="inlineStr">
        <is>
          <t>시험실 온도 확인 / 재시험</t>
        </is>
      </c>
      <c r="G101" s="4" t="inlineStr">
        <is>
          <t>재시험으로 확정</t>
        </is>
      </c>
      <c r="H101" s="4" t="inlineStr">
        <is>
          <t>시험조건 기록 자동화</t>
        </is>
      </c>
      <c r="I101" s="4" t="inlineStr">
        <is>
          <t>규격+경험칙</t>
        </is>
      </c>
      <c r="J101" s="4" t="inlineStr">
        <is>
          <t>품질(시험실)</t>
        </is>
      </c>
      <c r="K101" s="4" t="n">
        <v>0.6</v>
      </c>
    </row>
    <row r="102">
      <c r="A102" s="4" t="inlineStr">
        <is>
          <t>오토클레이브 팽창도(안정도) 상승</t>
        </is>
      </c>
      <c r="B102" s="4" t="inlineStr">
        <is>
          <t>원료</t>
        </is>
      </c>
      <c r="C102" s="4" t="inlineStr">
        <is>
          <t>MgO 증가(석회석 백운석 혼입)</t>
        </is>
      </c>
      <c r="D102" s="4" t="inlineStr">
        <is>
          <t>MgO가 클링커에 고용 한계(약 2%) 이상 들어가면 페리클레이스로 존재해 장기 팽창을 일으킨다.</t>
        </is>
      </c>
      <c r="E102" s="4" t="inlineStr">
        <is>
          <t>시멘트 MgO↑, 클링커 MgO↑, 원료 MgO↑</t>
        </is>
      </c>
      <c r="F102" s="4" t="inlineStr">
        <is>
          <t>시멘트·클링커·석회석 MgO 분석 / 채광 구역별 MgO(백운석) 분포 확인 / XRD 페리클레이스 정량</t>
        </is>
      </c>
      <c r="G102" s="4" t="inlineStr">
        <is>
          <t>고MgO 석회석 사용 중단·저MgO 원료와 블렌딩 / 출하 전 안정도 시험 강화(로트별)</t>
        </is>
      </c>
      <c r="H102" s="4" t="inlineStr">
        <is>
          <t>채광 계획에 MgO 품위 관리 반영 / 클링커 급랭으로 페리클레이스 미세화</t>
        </is>
      </c>
      <c r="I102" s="4" t="inlineStr">
        <is>
          <t>이론+규격</t>
        </is>
      </c>
      <c r="J102" s="4" t="inlineStr">
        <is>
          <t>생산(원료)·채광</t>
        </is>
      </c>
      <c r="K102" s="4" t="n">
        <v>1.2</v>
      </c>
    </row>
    <row r="103">
      <c r="A103" s="4" t="inlineStr">
        <is>
          <t>오토클레이브 팽창도(안정도) 상승</t>
        </is>
      </c>
      <c r="B103" s="4" t="inlineStr">
        <is>
          <t>공정</t>
        </is>
      </c>
      <c r="C103" s="4" t="inlineStr">
        <is>
          <t>f-CaO 과다</t>
        </is>
      </c>
      <c r="D103" s="4" t="inlineStr">
        <is>
          <t>미반응 석회의 수화 팽창도 안정도를 악화시킨다.</t>
        </is>
      </c>
      <c r="E103" s="4" t="inlineStr">
        <is>
          <t>클링커 자유석회(f-CaO)↑</t>
        </is>
      </c>
      <c r="F103" s="4" t="inlineStr">
        <is>
          <t>클링커 f-CaO 확인</t>
        </is>
      </c>
      <c r="G103" s="4" t="inlineStr">
        <is>
          <t>소성 강화</t>
        </is>
      </c>
      <c r="H103" s="4" t="inlineStr">
        <is>
          <t>f-CaO 관리 강화</t>
        </is>
      </c>
      <c r="I103" s="4" t="inlineStr">
        <is>
          <t>이론</t>
        </is>
      </c>
      <c r="J103" s="4" t="inlineStr">
        <is>
          <t>생산(소성)</t>
        </is>
      </c>
      <c r="K103" s="4" t="n">
        <v>0.8</v>
      </c>
    </row>
    <row r="104">
      <c r="A104" s="4" t="inlineStr">
        <is>
          <t>오토클레이브 팽창도(안정도) 상승</t>
        </is>
      </c>
      <c r="B104" s="4" t="inlineStr">
        <is>
          <t>설비</t>
        </is>
      </c>
      <c r="C104" s="4" t="inlineStr">
        <is>
          <t>클링커 냉각 지연(페리클레이스 조대화)</t>
        </is>
      </c>
      <c r="D104" s="4" t="inlineStr">
        <is>
          <t>서랭하면 페리클레이스 결정이 커져 팽창 위험이 커진다.</t>
        </is>
      </c>
      <c r="E104" s="4" t="inlineStr">
        <is>
          <t>2차 공기 온도↓</t>
        </is>
      </c>
      <c r="F104" s="4" t="inlineStr">
        <is>
          <t>냉각기 운전 상태 확인</t>
        </is>
      </c>
      <c r="G104" s="4" t="inlineStr">
        <is>
          <t>냉각기 운전 조정</t>
        </is>
      </c>
      <c r="H104" s="4" t="inlineStr">
        <is>
          <t>냉각기 성능 개선</t>
        </is>
      </c>
      <c r="I104" s="4" t="inlineStr">
        <is>
          <t>문헌</t>
        </is>
      </c>
      <c r="J104" s="4" t="inlineStr">
        <is>
          <t>설비</t>
        </is>
      </c>
      <c r="K104" s="4" t="n">
        <v>0.4</v>
      </c>
    </row>
    <row r="105">
      <c r="A105" s="4" t="inlineStr">
        <is>
          <t>오토클레이브 팽창도(안정도) 상승</t>
        </is>
      </c>
      <c r="B105" s="4" t="inlineStr">
        <is>
          <t>시험오차</t>
        </is>
      </c>
      <c r="C105" s="4" t="inlineStr">
        <is>
          <t>오토클레이브 시험 분석·시료 채취 오차</t>
        </is>
      </c>
      <c r="D105" s="4" t="inlineStr">
        <is>
          <t>단발성 이탈이면서 연관 항목에 변화가 없으면 시료 대표성·분석 오차 가능성이 높다.</t>
        </is>
      </c>
      <c r="E105" s="4" t="inlineStr">
        <is>
          <t>이벤트 단발성↑</t>
        </is>
      </c>
      <c r="F105" s="4" t="inlineStr">
        <is>
          <t>동일 시료 재분석(이중 분석) / 표준시료(CRM)로 분석기 점검 / 시료 채취 위치·방법 확인</t>
        </is>
      </c>
      <c r="G105" s="4" t="inlineStr">
        <is>
          <t>재분석 결과로 판정 확정 / 재분석 전까지 조치는 보류하되 다음 시료 채취 주기 단축</t>
        </is>
      </c>
      <c r="H105" s="4" t="inlineStr">
        <is>
          <t>분석기 일상 점검(표준시료 관리도) 운영 / 시료 채취 절차서 정비</t>
        </is>
      </c>
      <c r="I105" s="4" t="inlineStr">
        <is>
          <t>경험칙</t>
        </is>
      </c>
      <c r="J105" s="4" t="inlineStr">
        <is>
          <t>품질(시험실)</t>
        </is>
      </c>
      <c r="K105" s="4" t="n">
        <v>0.5</v>
      </c>
    </row>
    <row r="106">
      <c r="A106" s="4" t="inlineStr">
        <is>
          <t>MgO 상승</t>
        </is>
      </c>
      <c r="B106" s="4" t="inlineStr">
        <is>
          <t>원료</t>
        </is>
      </c>
      <c r="C106" s="4" t="inlineStr">
        <is>
          <t>석회석 백운석(돌로마이트) 혼입</t>
        </is>
      </c>
      <c r="D106" s="4" t="inlineStr">
        <is>
          <t>채광 구역 내 백운석질 석회석이 섞이면 MgO가 증가한다.</t>
        </is>
      </c>
      <c r="E106" s="4" t="inlineStr">
        <is>
          <t>없음(현장 확인)</t>
        </is>
      </c>
      <c r="F106" s="4" t="inlineStr">
        <is>
          <t>석회석 입고 MgO 분석 / 채광 구역·벤치 확인 / 파일 성분 확인</t>
        </is>
      </c>
      <c r="G106" s="4" t="inlineStr">
        <is>
          <t>고MgO 원료 사용 비율 축소·블렌딩</t>
        </is>
      </c>
      <c r="H106" s="4" t="inlineStr">
        <is>
          <t>채광 계획 단계 MgO 품위 관리</t>
        </is>
      </c>
      <c r="I106" s="4" t="inlineStr">
        <is>
          <t>경험칙</t>
        </is>
      </c>
      <c r="J106" s="4" t="inlineStr">
        <is>
          <t>채광</t>
        </is>
      </c>
      <c r="K106" s="4" t="n">
        <v>1.3</v>
      </c>
    </row>
    <row r="107">
      <c r="A107" s="4" t="inlineStr">
        <is>
          <t>MgO 상승</t>
        </is>
      </c>
      <c r="B107" s="4" t="inlineStr">
        <is>
          <t>원료</t>
        </is>
      </c>
      <c r="C107" s="4" t="inlineStr">
        <is>
          <t>부원료·대체원료 MgO</t>
        </is>
      </c>
      <c r="D107" s="4" t="inlineStr">
        <is>
          <t>슬래그 등 부원료의 MgO가 높을 수 있다.</t>
        </is>
      </c>
      <c r="E107" s="4" t="inlineStr">
        <is>
          <t>없음(현장 확인)</t>
        </is>
      </c>
      <c r="F107" s="4" t="inlineStr">
        <is>
          <t>부원료 입고 분석</t>
        </is>
      </c>
      <c r="G107" s="4" t="inlineStr">
        <is>
          <t>부원료 비율 조정</t>
        </is>
      </c>
      <c r="H107" s="4" t="inlineStr">
        <is>
          <t>부원료 입고 기준 설정</t>
        </is>
      </c>
      <c r="I107" s="4" t="inlineStr">
        <is>
          <t>경험칙</t>
        </is>
      </c>
      <c r="J107" s="4" t="inlineStr">
        <is>
          <t>품질</t>
        </is>
      </c>
      <c r="K107" s="4" t="n">
        <v>0.5</v>
      </c>
    </row>
    <row r="108">
      <c r="A108" s="4" t="inlineStr">
        <is>
          <t>MgO 상승</t>
        </is>
      </c>
      <c r="B108" s="4" t="inlineStr">
        <is>
          <t>시험오차</t>
        </is>
      </c>
      <c r="C108" s="4" t="inlineStr">
        <is>
          <t>MgO 분석·시료 채취 오차</t>
        </is>
      </c>
      <c r="D108" s="4" t="inlineStr">
        <is>
          <t>단발성 이탈이면서 연관 항목에 변화가 없으면 시료 대표성·분석 오차 가능성이 높다.</t>
        </is>
      </c>
      <c r="E108" s="4" t="inlineStr">
        <is>
          <t>이벤트 단발성↑</t>
        </is>
      </c>
      <c r="F108" s="4" t="inlineStr">
        <is>
          <t>동일 시료 재분석(이중 분석) / 표준시료(CRM)로 분석기 점검 / 시료 채취 위치·방법 확인</t>
        </is>
      </c>
      <c r="G108" s="4" t="inlineStr">
        <is>
          <t>재분석 결과로 판정 확정 / 재분석 전까지 조치는 보류하되 다음 시료 채취 주기 단축</t>
        </is>
      </c>
      <c r="H108" s="4" t="inlineStr">
        <is>
          <t>분석기 일상 점검(표준시료 관리도) 운영 / 시료 채취 절차서 정비</t>
        </is>
      </c>
      <c r="I108" s="4" t="inlineStr">
        <is>
          <t>경험칙</t>
        </is>
      </c>
      <c r="J108" s="4" t="inlineStr">
        <is>
          <t>품질(시험실)</t>
        </is>
      </c>
      <c r="K108" s="4" t="n">
        <v>0.5</v>
      </c>
    </row>
    <row r="109">
      <c r="A109" s="4" t="inlineStr">
        <is>
          <t>소성대 온도 저하</t>
        </is>
      </c>
      <c r="B109" s="4" t="inlineStr">
        <is>
          <t>원료</t>
        </is>
      </c>
      <c r="C109" s="4" t="inlineStr">
        <is>
          <t>석탄 품질 저하(발열량↓·수분↑)</t>
        </is>
      </c>
      <c r="D109" s="4" t="inlineStr">
        <is>
          <t>투입량을 늘렸는데도 온도가 낮으면 석탄 발열량 저하를 의심한다.</t>
        </is>
      </c>
      <c r="E109" s="4" t="inlineStr">
        <is>
          <t>석탄 투입량↑</t>
        </is>
      </c>
      <c r="F109" s="4" t="inlineStr">
        <is>
          <t>석탄 공업분석 / 입고 Lot 확인</t>
        </is>
      </c>
      <c r="G109" s="4" t="inlineStr">
        <is>
          <t>고발열량 석탄 혼탄 / 석탄 건조 강화</t>
        </is>
      </c>
      <c r="H109" s="4" t="inlineStr">
        <is>
          <t>석탄 입고 검사 기준 강화</t>
        </is>
      </c>
      <c r="I109" s="4" t="inlineStr">
        <is>
          <t>경험칙</t>
        </is>
      </c>
      <c r="J109" s="4" t="inlineStr">
        <is>
          <t>생산(소성)</t>
        </is>
      </c>
      <c r="K109" s="4" t="n">
        <v>1.1</v>
      </c>
    </row>
    <row r="110">
      <c r="A110" s="4" t="inlineStr">
        <is>
          <t>소성대 온도 저하</t>
        </is>
      </c>
      <c r="B110" s="4" t="inlineStr">
        <is>
          <t>공정</t>
        </is>
      </c>
      <c r="C110" s="4" t="inlineStr">
        <is>
          <t>원료 투입량 증가(열부하)</t>
        </is>
      </c>
      <c r="D110" s="4" t="inlineStr">
        <is>
          <t>투입량 증가 대비 연료 부족.</t>
        </is>
      </c>
      <c r="E110" s="4" t="inlineStr">
        <is>
          <t>원료 투입량↑</t>
        </is>
      </c>
      <c r="F110" s="4" t="inlineStr">
        <is>
          <t>투입량 변경 이력</t>
        </is>
      </c>
      <c r="G110" s="4" t="inlineStr">
        <is>
          <t>투입량 원복·연료 증량</t>
        </is>
      </c>
      <c r="H110" s="4" t="inlineStr">
        <is>
          <t>투입량-연료 연동 운전</t>
        </is>
      </c>
      <c r="I110" s="4" t="inlineStr">
        <is>
          <t>이론</t>
        </is>
      </c>
      <c r="J110" s="4" t="inlineStr">
        <is>
          <t>생산(소성)</t>
        </is>
      </c>
      <c r="K110" s="4" t="n">
        <v>0.7</v>
      </c>
    </row>
    <row r="111">
      <c r="A111" s="4" t="inlineStr">
        <is>
          <t>소성대 온도 저하</t>
        </is>
      </c>
      <c r="B111" s="4" t="inlineStr">
        <is>
          <t>공정</t>
        </is>
      </c>
      <c r="C111" s="4" t="inlineStr">
        <is>
          <t>연소 공기 부족·불완전 연소</t>
        </is>
      </c>
      <c r="D111" s="4" t="inlineStr">
        <is>
          <t>O₂ 부족·CO 발생은 화염 온도를 낮춘다.</t>
        </is>
      </c>
      <c r="E111" s="4" t="inlineStr">
        <is>
          <t>킬른 입구 O₂↓, 킬른 입구 CO↑</t>
        </is>
      </c>
      <c r="F111" s="4" t="inlineStr">
        <is>
          <t>O₂·CO 추이 / ID 팬 부하</t>
        </is>
      </c>
      <c r="G111" s="4" t="inlineStr">
        <is>
          <t>공기량 조정</t>
        </is>
      </c>
      <c r="H111" s="4" t="inlineStr">
        <is>
          <t>연소 제어 튜닝</t>
        </is>
      </c>
      <c r="I111" s="4" t="inlineStr">
        <is>
          <t>이론</t>
        </is>
      </c>
      <c r="J111" s="4" t="inlineStr">
        <is>
          <t>생산(소성)</t>
        </is>
      </c>
      <c r="K111" s="4" t="n">
        <v>0.9</v>
      </c>
    </row>
    <row r="112">
      <c r="A112" s="4" t="inlineStr">
        <is>
          <t>소성대 온도 저하</t>
        </is>
      </c>
      <c r="B112" s="4" t="inlineStr">
        <is>
          <t>설비</t>
        </is>
      </c>
      <c r="C112" s="4" t="inlineStr">
        <is>
          <t>냉각기 열회수 저하(2차 공기 온도↓)</t>
        </is>
      </c>
      <c r="D112" s="4" t="inlineStr">
        <is>
          <t>2차 공기 온도가 낮으면 화염 온도가 낮아진다.</t>
        </is>
      </c>
      <c r="E112" s="4" t="inlineStr">
        <is>
          <t>2차 공기 온도↓</t>
        </is>
      </c>
      <c r="F112" s="4" t="inlineStr">
        <is>
          <t>냉각기 운전·클링커 베드 두께 확인</t>
        </is>
      </c>
      <c r="G112" s="4" t="inlineStr">
        <is>
          <t>냉각기 운전 조정</t>
        </is>
      </c>
      <c r="H112" s="4" t="inlineStr">
        <is>
          <t>냉각기 성능 개선</t>
        </is>
      </c>
      <c r="I112" s="4" t="inlineStr">
        <is>
          <t>이론</t>
        </is>
      </c>
      <c r="J112" s="4" t="inlineStr">
        <is>
          <t>설비</t>
        </is>
      </c>
      <c r="K112" s="4" t="n">
        <v>0.7</v>
      </c>
    </row>
    <row r="113">
      <c r="A113" s="4" t="inlineStr">
        <is>
          <t>소성대 온도 저하</t>
        </is>
      </c>
      <c r="B113" s="4" t="inlineStr">
        <is>
          <t>시험오차</t>
        </is>
      </c>
      <c r="C113" s="4" t="inlineStr">
        <is>
          <t>파이로미터 오염·방사율 설정 오류(계측 오차)</t>
        </is>
      </c>
      <c r="D113" s="4" t="inlineStr">
        <is>
          <t>온도는 낮게 표시되는데 f-CaO가 정상이면 계측 오차 가능성이 있다.</t>
        </is>
      </c>
      <c r="E113" s="4" t="inlineStr">
        <is>
          <t>클링커 자유석회(f-CaO)↑(반대)</t>
        </is>
      </c>
      <c r="F113" s="4" t="inlineStr">
        <is>
          <t>파이로미터 렌즈·퍼지 에어 점검 / 휴대용 온도계 비교 측정</t>
        </is>
      </c>
      <c r="G113" s="4" t="inlineStr">
        <is>
          <t>계측기 청소·재교정</t>
        </is>
      </c>
      <c r="H113" s="4" t="inlineStr">
        <is>
          <t>계측기 정기 교정 계획</t>
        </is>
      </c>
      <c r="I113" s="4" t="inlineStr">
        <is>
          <t>경험칙</t>
        </is>
      </c>
      <c r="J113" s="4" t="inlineStr">
        <is>
          <t>설비(계장)</t>
        </is>
      </c>
      <c r="K113" s="4" t="n">
        <v>0.5</v>
      </c>
    </row>
    <row r="114">
      <c r="A114" s="4" t="inlineStr">
        <is>
          <t>킬른 입구 CO 상승</t>
        </is>
      </c>
      <c r="B114" s="4" t="inlineStr">
        <is>
          <t>공정</t>
        </is>
      </c>
      <c r="C114" s="4" t="inlineStr">
        <is>
          <t>연료 과다·공기 부족</t>
        </is>
      </c>
      <c r="D114" s="4" t="inlineStr">
        <is>
          <t>공기비 부족 시 불완전 연소로 CO가 발생한다.</t>
        </is>
      </c>
      <c r="E114" s="4" t="inlineStr">
        <is>
          <t>킬른 입구 O₂↓, 석탄 투입량↑</t>
        </is>
      </c>
      <c r="F114" s="4" t="inlineStr">
        <is>
          <t>O₂·석탄 투입량 추이 / ID 팬·댐퍼 개도</t>
        </is>
      </c>
      <c r="G114" s="4" t="inlineStr">
        <is>
          <t>O₂ 목표 상향 / 석탄 투입 안정화</t>
        </is>
      </c>
      <c r="H114" s="4" t="inlineStr">
        <is>
          <t>연소 제어(O₂·CO 기반) 튜닝</t>
        </is>
      </c>
      <c r="I114" s="4" t="inlineStr">
        <is>
          <t>이론</t>
        </is>
      </c>
      <c r="J114" s="4" t="inlineStr">
        <is>
          <t>생산(소성)</t>
        </is>
      </c>
      <c r="K114" s="4" t="n">
        <v>1.2</v>
      </c>
    </row>
    <row r="115">
      <c r="A115" s="4" t="inlineStr">
        <is>
          <t>킬른 입구 CO 상승</t>
        </is>
      </c>
      <c r="B115" s="4" t="inlineStr">
        <is>
          <t>설비</t>
        </is>
      </c>
      <c r="C115" s="4" t="inlineStr">
        <is>
          <t>버너·석탄 미분 공급 이상</t>
        </is>
      </c>
      <c r="D115" s="4" t="inlineStr">
        <is>
          <t>석탄 미분도 불량·공급 맥동·버너 팁 마모는 불완전 연소를 일으킨다.</t>
        </is>
      </c>
      <c r="E115" s="4" t="inlineStr">
        <is>
          <t>없음(현장 확인)</t>
        </is>
      </c>
      <c r="F115" s="4" t="inlineStr">
        <is>
          <t>석탄 미분도(90μm 잔사)·수분 / 석탄 공급기 맥동 확인 / 버너 팁 점검</t>
        </is>
      </c>
      <c r="G115" s="4" t="inlineStr">
        <is>
          <t>석탄밀 운전 조정</t>
        </is>
      </c>
      <c r="H115" s="4" t="inlineStr">
        <is>
          <t>버너·석탄 공급 설비 예방정비</t>
        </is>
      </c>
      <c r="I115" s="4" t="inlineStr">
        <is>
          <t>경험칙</t>
        </is>
      </c>
      <c r="J115" s="4" t="inlineStr">
        <is>
          <t>설비</t>
        </is>
      </c>
      <c r="K115" s="4" t="n">
        <v>0.9</v>
      </c>
    </row>
    <row r="116">
      <c r="A116" s="4" t="inlineStr">
        <is>
          <t>킬른 입구 CO 상승</t>
        </is>
      </c>
      <c r="B116" s="4" t="inlineStr">
        <is>
          <t>원료</t>
        </is>
      </c>
      <c r="C116" s="4" t="inlineStr">
        <is>
          <t>석탄 품질 변화(휘발분·발열량)</t>
        </is>
      </c>
      <c r="D116" s="4" t="inlineStr">
        <is>
          <t>석탄 성상이 바뀌면 연소 특성이 변한다.</t>
        </is>
      </c>
      <c r="E116" s="4" t="inlineStr">
        <is>
          <t>소성대 온도(파이로미터)↓</t>
        </is>
      </c>
      <c r="F116" s="4" t="inlineStr">
        <is>
          <t>석탄 공업분석</t>
        </is>
      </c>
      <c r="G116" s="4" t="inlineStr">
        <is>
          <t>혼탄 비율 조정</t>
        </is>
      </c>
      <c r="H116" s="4" t="inlineStr">
        <is>
          <t>석탄 입고 검사 강화</t>
        </is>
      </c>
      <c r="I116" s="4" t="inlineStr">
        <is>
          <t>경험칙</t>
        </is>
      </c>
      <c r="J116" s="4" t="inlineStr">
        <is>
          <t>생산(소성)</t>
        </is>
      </c>
      <c r="K116" s="4" t="n">
        <v>0.7</v>
      </c>
    </row>
    <row r="117">
      <c r="A117" s="4" t="inlineStr">
        <is>
          <t>클링커 C₃S 저하</t>
        </is>
      </c>
      <c r="B117" s="4" t="inlineStr">
        <is>
          <t>공정</t>
        </is>
      </c>
      <c r="C117" s="4" t="inlineStr">
        <is>
          <t>소성 부족(소성대 온도·열량 부족)</t>
        </is>
      </c>
      <c r="D117" s="4" t="inlineStr">
        <is>
          <t>소성대 온도·체류시간 부족 시 C₂S + CaO → C₃S 반응이 완결되지 않아 f-CaO↑, C₃S↓, 클링커가 다공질(리터중량↓)이 된다.</t>
        </is>
      </c>
      <c r="E117" s="4" t="inlineStr">
        <is>
          <t>클링커 자유석회(f-CaO)↑, 소성대 온도(파이로미터)↓, 클링커 리터중량↓, 2차 공기 온도↓</t>
        </is>
      </c>
      <c r="F117" s="4" t="inlineStr">
        <is>
          <t>킬른 운전 추이(소성대 온도·주모터 부하·2차 공기 온도) 확인 / 시간대별 f-CaO·리터중량 대조 / 석탄 공업분석(발열량·회분·휘발분·수분)</t>
        </is>
      </c>
      <c r="G117" s="4" t="inlineStr">
        <is>
          <t>f-CaO 기준 초과 클링커 분리 저장 또는 혼합 비율 제한 / 소성 강화(연료·버너 조정) 및 원료 투입량 일시 감량</t>
        </is>
      </c>
      <c r="H117" s="4" t="inlineStr">
        <is>
          <t>석탄 입고 품질 기준(발열량 하한) 및 혼탄 관리 / f-CaO 기반 소성 피드백 운전 기준서 수립 / 버너 화염 형상 점검·개선</t>
        </is>
      </c>
      <c r="I117" s="4" t="inlineStr">
        <is>
          <t>이론+경험칙</t>
        </is>
      </c>
      <c r="J117" s="4" t="inlineStr">
        <is>
          <t>생산(소성)</t>
        </is>
      </c>
      <c r="K117" s="4" t="n">
        <v>1.1</v>
      </c>
    </row>
    <row r="118">
      <c r="A118" s="4" t="inlineStr">
        <is>
          <t>클링커 C₃S 저하</t>
        </is>
      </c>
      <c r="B118" s="4" t="inlineStr">
        <is>
          <t>원료</t>
        </is>
      </c>
      <c r="C118" s="4" t="inlineStr">
        <is>
          <t>LSF 저하</t>
        </is>
      </c>
      <c r="D118" s="4" t="inlineStr">
        <is>
          <t>LSF가 낮으면 C₃S 생성량이 줄어든다.</t>
        </is>
      </c>
      <c r="E118" s="4" t="inlineStr">
        <is>
          <t>클링커 LSF↓, 원료 LSF↓</t>
        </is>
      </c>
      <c r="F118" s="4" t="inlineStr">
        <is>
          <t>원료·클링커 LSF 확인</t>
        </is>
      </c>
      <c r="G118" s="4" t="inlineStr">
        <is>
          <t>조합비 보정</t>
        </is>
      </c>
      <c r="H118" s="4" t="inlineStr">
        <is>
          <t>LSF 관리 정밀도 향상</t>
        </is>
      </c>
      <c r="I118" s="4" t="inlineStr">
        <is>
          <t>이론</t>
        </is>
      </c>
      <c r="J118" s="4" t="inlineStr">
        <is>
          <t>생산(원료)</t>
        </is>
      </c>
      <c r="K118" s="4" t="n">
        <v>1</v>
      </c>
    </row>
    <row r="119">
      <c r="A119" s="4" t="inlineStr">
        <is>
          <t>클링커 C₃S 저하</t>
        </is>
      </c>
      <c r="B119" s="4" t="inlineStr">
        <is>
          <t>시험오차</t>
        </is>
      </c>
      <c r="C119" s="4" t="inlineStr">
        <is>
          <t>클링커 XRF 분석·시료 채취 오차</t>
        </is>
      </c>
      <c r="D119" s="4" t="inlineStr">
        <is>
          <t>단발성 이탈이면서 연관 항목에 변화가 없으면 시료 대표성·분석 오차 가능성이 높다.</t>
        </is>
      </c>
      <c r="E119" s="4" t="inlineStr">
        <is>
          <t>이벤트 단발성↑</t>
        </is>
      </c>
      <c r="F119" s="4" t="inlineStr">
        <is>
          <t>동일 시료 재분석(이중 분석) / 표준시료(CRM)로 분석기 점검 / 시료 채취 위치·방법 확인</t>
        </is>
      </c>
      <c r="G119" s="4" t="inlineStr">
        <is>
          <t>재분석 결과로 판정 확정 / 재분석 전까지 조치는 보류하되 다음 시료 채취 주기 단축</t>
        </is>
      </c>
      <c r="H119" s="4" t="inlineStr">
        <is>
          <t>분석기 일상 점검(표준시료 관리도) 운영 / 시료 채취 절차서 정비</t>
        </is>
      </c>
      <c r="I119" s="4" t="inlineStr">
        <is>
          <t>경험칙</t>
        </is>
      </c>
      <c r="J119" s="4" t="inlineStr">
        <is>
          <t>품질(시험실)</t>
        </is>
      </c>
      <c r="K119" s="4" t="n">
        <v>0.5</v>
      </c>
    </row>
    <row r="120">
      <c r="A120" s="4" t="inlineStr">
        <is>
          <t>클링커 리터중량 저하</t>
        </is>
      </c>
      <c r="B120" s="4" t="inlineStr">
        <is>
          <t>공정</t>
        </is>
      </c>
      <c r="C120" s="4" t="inlineStr">
        <is>
          <t>소성 부족(소성대 온도·열량 부족)</t>
        </is>
      </c>
      <c r="D120" s="4" t="inlineStr">
        <is>
          <t>소성대 온도·체류시간 부족 시 C₂S + CaO → C₃S 반응이 완결되지 않아 f-CaO↑, C₃S↓, 클링커가 다공질(리터중량↓)이 된다.</t>
        </is>
      </c>
      <c r="E120" s="4" t="inlineStr">
        <is>
          <t>클링커 자유석회(f-CaO)↑, 소성대 온도(파이로미터)↓, 클링커 리터중량↓, 2차 공기 온도↓</t>
        </is>
      </c>
      <c r="F120" s="4" t="inlineStr">
        <is>
          <t>킬른 운전 추이(소성대 온도·주모터 부하·2차 공기 온도) 확인 / 시간대별 f-CaO·리터중량 대조 / 석탄 공업분석(발열량·회분·휘발분·수분)</t>
        </is>
      </c>
      <c r="G120" s="4" t="inlineStr">
        <is>
          <t>f-CaO 기준 초과 클링커 분리 저장 또는 혼합 비율 제한 / 소성 강화(연료·버너 조정) 및 원료 투입량 일시 감량</t>
        </is>
      </c>
      <c r="H120" s="4" t="inlineStr">
        <is>
          <t>석탄 입고 품질 기준(발열량 하한) 및 혼탄 관리 / f-CaO 기반 소성 피드백 운전 기준서 수립 / 버너 화염 형상 점검·개선</t>
        </is>
      </c>
      <c r="I120" s="4" t="inlineStr">
        <is>
          <t>이론+경험칙</t>
        </is>
      </c>
      <c r="J120" s="4" t="inlineStr">
        <is>
          <t>생산(소성)</t>
        </is>
      </c>
      <c r="K120" s="4" t="n">
        <v>1.2</v>
      </c>
    </row>
    <row r="121">
      <c r="A121" s="4" t="inlineStr">
        <is>
          <t>클링커 리터중량 저하</t>
        </is>
      </c>
      <c r="B121" s="4" t="inlineStr">
        <is>
          <t>화학</t>
        </is>
      </c>
      <c r="C121" s="4" t="inlineStr">
        <is>
          <t>난소성 조성(LSF·SM 과다)</t>
        </is>
      </c>
      <c r="D121" s="4" t="inlineStr">
        <is>
          <t>LSF·SM이 높으면 같은 조건에서 소성도가 낮아진다.</t>
        </is>
      </c>
      <c r="E121" s="4" t="inlineStr">
        <is>
          <t>클링커 LSF↑, 클링커 SM↑</t>
        </is>
      </c>
      <c r="F121" s="4" t="inlineStr">
        <is>
          <t>클링커 LSF·SM 확인</t>
        </is>
      </c>
      <c r="G121" s="4" t="inlineStr">
        <is>
          <t>조합비 보정</t>
        </is>
      </c>
      <c r="H121" s="4" t="inlineStr">
        <is>
          <t>조합 목표 재설정</t>
        </is>
      </c>
      <c r="I121" s="4" t="inlineStr">
        <is>
          <t>이론</t>
        </is>
      </c>
      <c r="J121" s="4" t="inlineStr">
        <is>
          <t>생산(원료)</t>
        </is>
      </c>
      <c r="K121" s="4" t="n">
        <v>0.7</v>
      </c>
    </row>
    <row r="122">
      <c r="A122" s="4" t="inlineStr">
        <is>
          <t>클링커 리터중량 저하</t>
        </is>
      </c>
      <c r="B122" s="4" t="inlineStr">
        <is>
          <t>시험오차</t>
        </is>
      </c>
      <c r="C122" s="4" t="inlineStr">
        <is>
          <t>리터중량 분석·시료 채취 오차</t>
        </is>
      </c>
      <c r="D122" s="4" t="inlineStr">
        <is>
          <t>단발성 이탈이면서 연관 항목에 변화가 없으면 시료 대표성·분석 오차 가능성이 높다.</t>
        </is>
      </c>
      <c r="E122" s="4" t="inlineStr">
        <is>
          <t>이벤트 단발성↑</t>
        </is>
      </c>
      <c r="F122" s="4" t="inlineStr">
        <is>
          <t>동일 시료 재분석(이중 분석) / 표준시료(CRM)로 분석기 점검 / 시료 채취 위치·방법 확인</t>
        </is>
      </c>
      <c r="G122" s="4" t="inlineStr">
        <is>
          <t>재분석 결과로 판정 확정 / 재분석 전까지 조치는 보류하되 다음 시료 채취 주기 단축</t>
        </is>
      </c>
      <c r="H122" s="4" t="inlineStr">
        <is>
          <t>분석기 일상 점검(표준시료 관리도) 운영 / 시료 채취 절차서 정비</t>
        </is>
      </c>
      <c r="I122" s="4" t="inlineStr">
        <is>
          <t>경험칙</t>
        </is>
      </c>
      <c r="J122" s="4" t="inlineStr">
        <is>
          <t>품질(시험실)</t>
        </is>
      </c>
      <c r="K122" s="4" t="n">
        <v>0.5</v>
      </c>
    </row>
    <row r="123">
      <c r="A123" s="4" t="inlineStr">
        <is>
          <t>XRD 알라이트(C₃S) 저하</t>
        </is>
      </c>
      <c r="B123" s="4" t="inlineStr">
        <is>
          <t>공정</t>
        </is>
      </c>
      <c r="C123" s="4" t="inlineStr">
        <is>
          <t>소성 부족(소성대 온도·열량 부족)</t>
        </is>
      </c>
      <c r="D123" s="4" t="inlineStr">
        <is>
          <t>소성 부족 시 C₂S + CaO → C₃S 반응이 덜 진행되어 알라이트↓·벨라이트↑·자유석회↑가 동시에 나타난다.</t>
        </is>
      </c>
      <c r="E123" s="4" t="inlineStr">
        <is>
          <t>클링커 자유석회(f-CaO)↑, 소성대 온도(파이로미터)↓, 클링커 리터중량↓</t>
        </is>
      </c>
      <c r="F123" s="4" t="inlineStr">
        <is>
          <t>킬른 운전 추이(소성대 온도·주모터 부하) 확인 / 시간대별 f-CaO·리터중량 대조</t>
        </is>
      </c>
      <c r="G123" s="4" t="inlineStr">
        <is>
          <t>소성 강화(연료·버너 조정) / f-CaO 기준 초과 클링커 분리 저장</t>
        </is>
      </c>
      <c r="H123" s="4" t="inlineStr">
        <is>
          <t>f-CaO 기반 소성 피드백 운전 기준서</t>
        </is>
      </c>
      <c r="I123" s="4" t="inlineStr">
        <is>
          <t>이론+경험칙</t>
        </is>
      </c>
      <c r="J123" s="4" t="inlineStr">
        <is>
          <t>생산(소성)</t>
        </is>
      </c>
      <c r="K123" s="4" t="n">
        <v>1.1</v>
      </c>
    </row>
    <row r="124">
      <c r="A124" s="4" t="inlineStr">
        <is>
          <t>XRD 알라이트(C₃S) 저하</t>
        </is>
      </c>
      <c r="B124" s="4" t="inlineStr">
        <is>
          <t>원료</t>
        </is>
      </c>
      <c r="C124" s="4" t="inlineStr">
        <is>
          <t>LSF 저하(석회 부족)</t>
        </is>
      </c>
      <c r="D124" s="4" t="inlineStr">
        <is>
          <t>LSF가 낮으면 C₃S 생성량이 줄고 C₂S가 늘어난다.</t>
        </is>
      </c>
      <c r="E124" s="4" t="inlineStr">
        <is>
          <t>클링커 LSF↓, 원료 LSF↓</t>
        </is>
      </c>
      <c r="F124" s="4" t="inlineStr">
        <is>
          <t>원료·클링커 LSF 추이 확인</t>
        </is>
      </c>
      <c r="G124" s="4" t="inlineStr">
        <is>
          <t>조합비 보정(석회석 비율↑)</t>
        </is>
      </c>
      <c r="H124" s="4" t="inlineStr">
        <is>
          <t>LSF 제어 정밀도 향상</t>
        </is>
      </c>
      <c r="I124" s="4" t="inlineStr">
        <is>
          <t>이론</t>
        </is>
      </c>
      <c r="J124" s="4" t="inlineStr">
        <is>
          <t>생산(원료)</t>
        </is>
      </c>
      <c r="K124" s="4" t="n">
        <v>1</v>
      </c>
    </row>
    <row r="125">
      <c r="A125" s="4" t="inlineStr">
        <is>
          <t>XRD 알라이트(C₃S) 저하</t>
        </is>
      </c>
      <c r="B125" s="4" t="inlineStr">
        <is>
          <t>설비</t>
        </is>
      </c>
      <c r="C125" s="4" t="inlineStr">
        <is>
          <t>클링커 서랭(냉각기)</t>
        </is>
      </c>
      <c r="D125" s="4" t="inlineStr">
        <is>
          <t>서랭 시 알라이트 일부 분해, 페리클레이스·C₃A 결정 조대화가 나타날 수 있다.</t>
        </is>
      </c>
      <c r="E125" s="4" t="inlineStr">
        <is>
          <t>2차 공기 온도↓</t>
        </is>
      </c>
      <c r="F125" s="4" t="inlineStr">
        <is>
          <t>냉각기 그레이트 속도·풍량 확인 / 클링커 현미경 관찰</t>
        </is>
      </c>
      <c r="G125" s="4" t="inlineStr">
        <is>
          <t>냉각기 운전 조건 조정</t>
        </is>
      </c>
      <c r="H125" s="4" t="inlineStr">
        <is>
          <t>냉각기 정비 계획 반영</t>
        </is>
      </c>
      <c r="I125" s="4" t="inlineStr">
        <is>
          <t>문헌+경험칙</t>
        </is>
      </c>
      <c r="J125" s="4" t="inlineStr">
        <is>
          <t>설비</t>
        </is>
      </c>
      <c r="K125" s="4" t="n">
        <v>0.4</v>
      </c>
    </row>
    <row r="126">
      <c r="A126" s="4" t="inlineStr">
        <is>
          <t>XRD 알라이트(C₃S) 저하</t>
        </is>
      </c>
      <c r="B126" s="4" t="inlineStr">
        <is>
          <t>시험오차</t>
        </is>
      </c>
      <c r="C126" s="4" t="inlineStr">
        <is>
          <t>XRD 정량 오차(시료 조제·Rietveld 해석)</t>
        </is>
      </c>
      <c r="D126" s="4" t="inlineStr">
        <is>
          <t>XRD-Rietveld 정량은 분쇄 입도·선택 배향·구조모델·내부표준 설정에 따라 ±1~2%p 오차가 생길 수 있다(경험칙). XRF 기반 Bogue 계산값과 같은 방향으로 움직이지 않으면 분석 오차를 먼저 의심한다.</t>
        </is>
      </c>
      <c r="E126" s="4" t="inlineStr">
        <is>
          <t>이벤트 단발성↑</t>
        </is>
      </c>
      <c r="F126" s="4" t="inlineStr">
        <is>
          <t>동일 시료 재분쇄·재측정 / 표준 클링커(사내 기준시료)로 정량값 점검 / Rietveld 잔차(Rwp)·구조모델 변경 이력 확인</t>
        </is>
      </c>
      <c r="G126" s="4" t="inlineStr">
        <is>
          <t>재측정 결과로 판정 확정</t>
        </is>
      </c>
      <c r="H126" s="4" t="inlineStr">
        <is>
          <t>XRD 정량 관리도(기준시료) 운영 / XRF Bogue와의 상관 정기 점검</t>
        </is>
      </c>
      <c r="I126" s="4" t="inlineStr">
        <is>
          <t>경험칙</t>
        </is>
      </c>
      <c r="J126" s="4" t="inlineStr">
        <is>
          <t>품질(시험실)</t>
        </is>
      </c>
      <c r="K126" s="4" t="n">
        <v>0.5</v>
      </c>
    </row>
    <row r="127">
      <c r="A127" s="4" t="inlineStr">
        <is>
          <t>XRD 벨라이트(C₂S) 증가</t>
        </is>
      </c>
      <c r="B127" s="4" t="inlineStr">
        <is>
          <t>공정</t>
        </is>
      </c>
      <c r="C127" s="4" t="inlineStr">
        <is>
          <t>소성 부족(소성대 온도·열량 부족)</t>
        </is>
      </c>
      <c r="D127" s="4" t="inlineStr">
        <is>
          <t>소성 부족 시 C₂S + CaO → C₃S 반응이 덜 진행되어 알라이트↓·벨라이트↑·자유석회↑가 동시에 나타난다.</t>
        </is>
      </c>
      <c r="E127" s="4" t="inlineStr">
        <is>
          <t>클링커 자유석회(f-CaO)↑, 소성대 온도(파이로미터)↓, 클링커 리터중량↓</t>
        </is>
      </c>
      <c r="F127" s="4" t="inlineStr">
        <is>
          <t>킬른 운전 추이(소성대 온도·주모터 부하) 확인 / 시간대별 f-CaO·리터중량 대조</t>
        </is>
      </c>
      <c r="G127" s="4" t="inlineStr">
        <is>
          <t>소성 강화(연료·버너 조정) / f-CaO 기준 초과 클링커 분리 저장</t>
        </is>
      </c>
      <c r="H127" s="4" t="inlineStr">
        <is>
          <t>f-CaO 기반 소성 피드백 운전 기준서</t>
        </is>
      </c>
      <c r="I127" s="4" t="inlineStr">
        <is>
          <t>이론+경험칙</t>
        </is>
      </c>
      <c r="J127" s="4" t="inlineStr">
        <is>
          <t>생산(소성)</t>
        </is>
      </c>
      <c r="K127" s="4" t="n">
        <v>1.1</v>
      </c>
    </row>
    <row r="128">
      <c r="A128" s="4" t="inlineStr">
        <is>
          <t>XRD 벨라이트(C₂S) 증가</t>
        </is>
      </c>
      <c r="B128" s="4" t="inlineStr">
        <is>
          <t>원료</t>
        </is>
      </c>
      <c r="C128" s="4" t="inlineStr">
        <is>
          <t>LSF 저하(석회 부족)</t>
        </is>
      </c>
      <c r="D128" s="4" t="inlineStr">
        <is>
          <t>LSF가 낮으면 C₃S 생성량이 줄고 C₂S가 늘어난다.</t>
        </is>
      </c>
      <c r="E128" s="4" t="inlineStr">
        <is>
          <t>클링커 LSF↓, 원료 LSF↓</t>
        </is>
      </c>
      <c r="F128" s="4" t="inlineStr">
        <is>
          <t>원료·클링커 LSF 추이 확인</t>
        </is>
      </c>
      <c r="G128" s="4" t="inlineStr">
        <is>
          <t>조합비 보정(석회석 비율↑)</t>
        </is>
      </c>
      <c r="H128" s="4" t="inlineStr">
        <is>
          <t>LSF 제어 정밀도 향상</t>
        </is>
      </c>
      <c r="I128" s="4" t="inlineStr">
        <is>
          <t>이론</t>
        </is>
      </c>
      <c r="J128" s="4" t="inlineStr">
        <is>
          <t>생산(원료)</t>
        </is>
      </c>
      <c r="K128" s="4" t="n">
        <v>1</v>
      </c>
    </row>
    <row r="129">
      <c r="A129" s="4" t="inlineStr">
        <is>
          <t>XRD 벨라이트(C₂S) 증가</t>
        </is>
      </c>
      <c r="B129" s="4" t="inlineStr">
        <is>
          <t>시험오차</t>
        </is>
      </c>
      <c r="C129" s="4" t="inlineStr">
        <is>
          <t>XRD 정량 오차(시료 조제·Rietveld 해석)</t>
        </is>
      </c>
      <c r="D129" s="4" t="inlineStr">
        <is>
          <t>XRD-Rietveld 정량은 분쇄 입도·선택 배향·구조모델·내부표준 설정에 따라 ±1~2%p 오차가 생길 수 있다(경험칙). XRF 기반 Bogue 계산값과 같은 방향으로 움직이지 않으면 분석 오차를 먼저 의심한다.</t>
        </is>
      </c>
      <c r="E129" s="4" t="inlineStr">
        <is>
          <t>이벤트 단발성↑</t>
        </is>
      </c>
      <c r="F129" s="4" t="inlineStr">
        <is>
          <t>동일 시료 재분쇄·재측정 / 표준 클링커(사내 기준시료)로 정량값 점검 / Rietveld 잔차(Rwp)·구조모델 변경 이력 확인</t>
        </is>
      </c>
      <c r="G129" s="4" t="inlineStr">
        <is>
          <t>재측정 결과로 판정 확정</t>
        </is>
      </c>
      <c r="H129" s="4" t="inlineStr">
        <is>
          <t>XRD 정량 관리도(기준시료) 운영 / XRF Bogue와의 상관 정기 점검</t>
        </is>
      </c>
      <c r="I129" s="4" t="inlineStr">
        <is>
          <t>경험칙</t>
        </is>
      </c>
      <c r="J129" s="4" t="inlineStr">
        <is>
          <t>품질(시험실)</t>
        </is>
      </c>
      <c r="K129" s="4" t="n">
        <v>0.5</v>
      </c>
    </row>
    <row r="130">
      <c r="A130" s="4" t="inlineStr">
        <is>
          <t>XRD 자유석회 상승</t>
        </is>
      </c>
      <c r="B130" s="4" t="inlineStr">
        <is>
          <t>공정</t>
        </is>
      </c>
      <c r="C130" s="4" t="inlineStr">
        <is>
          <t>소성 부족(소성대 온도·열량 부족)</t>
        </is>
      </c>
      <c r="D130" s="4" t="inlineStr">
        <is>
          <t>소성 부족 시 C₂S + CaO → C₃S 반응이 덜 진행되어 알라이트↓·벨라이트↑·자유석회↑가 동시에 나타난다.</t>
        </is>
      </c>
      <c r="E130" s="4" t="inlineStr">
        <is>
          <t>클링커 자유석회(f-CaO)↑, 소성대 온도(파이로미터)↓, 클링커 리터중량↓</t>
        </is>
      </c>
      <c r="F130" s="4" t="inlineStr">
        <is>
          <t>킬른 운전 추이(소성대 온도·주모터 부하) 확인 / 시간대별 f-CaO·리터중량 대조</t>
        </is>
      </c>
      <c r="G130" s="4" t="inlineStr">
        <is>
          <t>소성 강화(연료·버너 조정) / f-CaO 기준 초과 클링커 분리 저장</t>
        </is>
      </c>
      <c r="H130" s="4" t="inlineStr">
        <is>
          <t>f-CaO 기반 소성 피드백 운전 기준서</t>
        </is>
      </c>
      <c r="I130" s="4" t="inlineStr">
        <is>
          <t>이론+경험칙</t>
        </is>
      </c>
      <c r="J130" s="4" t="inlineStr">
        <is>
          <t>생산(소성)</t>
        </is>
      </c>
      <c r="K130" s="4" t="n">
        <v>1.1</v>
      </c>
    </row>
    <row r="131">
      <c r="A131" s="4" t="inlineStr">
        <is>
          <t>XRD 자유석회 상승</t>
        </is>
      </c>
      <c r="B131" s="4" t="inlineStr">
        <is>
          <t>원료</t>
        </is>
      </c>
      <c r="C131" s="4" t="inlineStr">
        <is>
          <t>원료 LSF 과다(석회 과포화)</t>
        </is>
      </c>
      <c r="D131" s="4" t="inlineStr">
        <is>
          <t>LSF가 높으면 결합되지 못한 CaO가 자유석회로 남는다.</t>
        </is>
      </c>
      <c r="E131" s="4" t="inlineStr">
        <is>
          <t>클링커 LSF↑, 원료 LSF↑</t>
        </is>
      </c>
      <c r="F131" s="4" t="inlineStr">
        <is>
          <t>원료·클링커 LSF 추이 확인 / 석회석 품위 변화 확인</t>
        </is>
      </c>
      <c r="G131" s="4" t="inlineStr">
        <is>
          <t>조합비 보정(석회석 비율↓)</t>
        </is>
      </c>
      <c r="H131" s="4" t="inlineStr">
        <is>
          <t>석회석 품위 예측 기반 조합 관리</t>
        </is>
      </c>
      <c r="I131" s="4" t="inlineStr">
        <is>
          <t>이론+경험칙</t>
        </is>
      </c>
      <c r="J131" s="4" t="inlineStr">
        <is>
          <t>생산(원료)</t>
        </is>
      </c>
      <c r="K131" s="4" t="n">
        <v>1</v>
      </c>
    </row>
    <row r="132">
      <c r="A132" s="4" t="inlineStr">
        <is>
          <t>XRD 자유석회 상승</t>
        </is>
      </c>
      <c r="B132" s="4" t="inlineStr">
        <is>
          <t>원료</t>
        </is>
      </c>
      <c r="C132" s="4" t="inlineStr">
        <is>
          <t>원료 분말도 조대(90μm 잔사 증가)</t>
        </is>
      </c>
      <c r="D132" s="4" t="inlineStr">
        <is>
          <t>조대 석영·방해석은 반응성이 낮아 자유석회가 남는다.</t>
        </is>
      </c>
      <c r="E132" s="4" t="inlineStr">
        <is>
          <t>원료 90μm 잔사↑, 원료 200μm 잔사↑</t>
        </is>
      </c>
      <c r="F132" s="4" t="inlineStr">
        <is>
          <t>원료 잔사 재측정</t>
        </is>
      </c>
      <c r="G132" s="4" t="inlineStr">
        <is>
          <t>원료밀 세퍼레이터 조정</t>
        </is>
      </c>
      <c r="H132" s="4" t="inlineStr">
        <is>
          <t>원료밀 분말도 관리기준 재설정</t>
        </is>
      </c>
      <c r="I132" s="4" t="inlineStr">
        <is>
          <t>문헌+경험칙</t>
        </is>
      </c>
      <c r="J132" s="4" t="inlineStr">
        <is>
          <t>생산(원료)</t>
        </is>
      </c>
      <c r="K132" s="4" t="n">
        <v>0.7</v>
      </c>
    </row>
    <row r="133">
      <c r="A133" s="4" t="inlineStr">
        <is>
          <t>XRD 자유석회 상승</t>
        </is>
      </c>
      <c r="B133" s="4" t="inlineStr">
        <is>
          <t>시험오차</t>
        </is>
      </c>
      <c r="C133" s="4" t="inlineStr">
        <is>
          <t>XRD 정량 오차(시료 조제·Rietveld 해석)</t>
        </is>
      </c>
      <c r="D133" s="4" t="inlineStr">
        <is>
          <t>XRD-Rietveld 정량은 분쇄 입도·선택 배향·구조모델·내부표준 설정에 따라 ±1~2%p 오차가 생길 수 있다(경험칙). XRF 기반 Bogue 계산값과 같은 방향으로 움직이지 않으면 분석 오차를 먼저 의심한다.</t>
        </is>
      </c>
      <c r="E133" s="4" t="inlineStr">
        <is>
          <t>이벤트 단발성↑</t>
        </is>
      </c>
      <c r="F133" s="4" t="inlineStr">
        <is>
          <t>동일 시료 재분쇄·재측정 / 표준 클링커(사내 기준시료)로 정량값 점검 / Rietveld 잔차(Rwp)·구조모델 변경 이력 확인</t>
        </is>
      </c>
      <c r="G133" s="4" t="inlineStr">
        <is>
          <t>재측정 결과로 판정 확정</t>
        </is>
      </c>
      <c r="H133" s="4" t="inlineStr">
        <is>
          <t>XRD 정량 관리도(기준시료) 운영 / XRF Bogue와의 상관 정기 점검</t>
        </is>
      </c>
      <c r="I133" s="4" t="inlineStr">
        <is>
          <t>경험칙</t>
        </is>
      </c>
      <c r="J133" s="4" t="inlineStr">
        <is>
          <t>품질(시험실)</t>
        </is>
      </c>
      <c r="K133" s="4" t="n">
        <v>0.5</v>
      </c>
    </row>
    <row r="134">
      <c r="A134" s="4" t="inlineStr">
        <is>
          <t>XRD 페리클레이스(결정질 MgO) 증가</t>
        </is>
      </c>
      <c r="B134" s="4" t="inlineStr">
        <is>
          <t>원료</t>
        </is>
      </c>
      <c r="C134" s="4" t="inlineStr">
        <is>
          <t>석회석 백운석 혼입(MgO↑)</t>
        </is>
      </c>
      <c r="D134" s="4" t="inlineStr">
        <is>
          <t>클링커 MgO가 고용 한계(약 1.5~2%, 경험칙)를 넘으면 페리클레이스로 정출된다.</t>
        </is>
      </c>
      <c r="E134" s="4" t="inlineStr">
        <is>
          <t>클링커 MgO↑, 원료 MgO↑</t>
        </is>
      </c>
      <c r="F134" s="4" t="inlineStr">
        <is>
          <t>석회석 입고 MgO 분석 / 채광 구역·벤치 확인</t>
        </is>
      </c>
      <c r="G134" s="4" t="inlineStr">
        <is>
          <t>고MgO 원료 블렌딩</t>
        </is>
      </c>
      <c r="H134" s="4" t="inlineStr">
        <is>
          <t>채광 계획 단계 MgO 품위 관리</t>
        </is>
      </c>
      <c r="I134" s="4" t="inlineStr">
        <is>
          <t>경험칙</t>
        </is>
      </c>
      <c r="J134" s="4" t="inlineStr">
        <is>
          <t>채광</t>
        </is>
      </c>
      <c r="K134" s="4" t="n">
        <v>1.3</v>
      </c>
    </row>
    <row r="135">
      <c r="A135" s="4" t="inlineStr">
        <is>
          <t>XRD 페리클레이스(결정질 MgO) 증가</t>
        </is>
      </c>
      <c r="B135" s="4" t="inlineStr">
        <is>
          <t>설비</t>
        </is>
      </c>
      <c r="C135" s="4" t="inlineStr">
        <is>
          <t>클링커 서랭(냉각기)</t>
        </is>
      </c>
      <c r="D135" s="4" t="inlineStr">
        <is>
          <t>서랭 시 알라이트 일부 분해, 페리클레이스·C₃A 결정 조대화가 나타날 수 있다.</t>
        </is>
      </c>
      <c r="E135" s="4" t="inlineStr">
        <is>
          <t>2차 공기 온도↓</t>
        </is>
      </c>
      <c r="F135" s="4" t="inlineStr">
        <is>
          <t>냉각기 그레이트 속도·풍량 확인 / 클링커 현미경 관찰</t>
        </is>
      </c>
      <c r="G135" s="4" t="inlineStr">
        <is>
          <t>냉각기 운전 조건 조정</t>
        </is>
      </c>
      <c r="H135" s="4" t="inlineStr">
        <is>
          <t>냉각기 정비 계획 반영</t>
        </is>
      </c>
      <c r="I135" s="4" t="inlineStr">
        <is>
          <t>문헌+경험칙</t>
        </is>
      </c>
      <c r="J135" s="4" t="inlineStr">
        <is>
          <t>설비</t>
        </is>
      </c>
      <c r="K135" s="4" t="n">
        <v>0.4</v>
      </c>
    </row>
    <row r="136">
      <c r="A136" s="4" t="inlineStr">
        <is>
          <t>XRD 페리클레이스(결정질 MgO) 증가</t>
        </is>
      </c>
      <c r="B136" s="4" t="inlineStr">
        <is>
          <t>시험오차</t>
        </is>
      </c>
      <c r="C136" s="4" t="inlineStr">
        <is>
          <t>XRD 정량 오차(시료 조제·Rietveld 해석)</t>
        </is>
      </c>
      <c r="D136" s="4" t="inlineStr">
        <is>
          <t>XRD-Rietveld 정량은 분쇄 입도·선택 배향·구조모델·내부표준 설정에 따라 ±1~2%p 오차가 생길 수 있다(경험칙). XRF 기반 Bogue 계산값과 같은 방향으로 움직이지 않으면 분석 오차를 먼저 의심한다.</t>
        </is>
      </c>
      <c r="E136" s="4" t="inlineStr">
        <is>
          <t>이벤트 단발성↑</t>
        </is>
      </c>
      <c r="F136" s="4" t="inlineStr">
        <is>
          <t>동일 시료 재분쇄·재측정 / 표준 클링커(사내 기준시료)로 정량값 점검 / Rietveld 잔차(Rwp)·구조모델 변경 이력 확인</t>
        </is>
      </c>
      <c r="G136" s="4" t="inlineStr">
        <is>
          <t>재측정 결과로 판정 확정</t>
        </is>
      </c>
      <c r="H136" s="4" t="inlineStr">
        <is>
          <t>XRD 정량 관리도(기준시료) 운영 / XRF Bogue와의 상관 정기 점검</t>
        </is>
      </c>
      <c r="I136" s="4" t="inlineStr">
        <is>
          <t>경험칙</t>
        </is>
      </c>
      <c r="J136" s="4" t="inlineStr">
        <is>
          <t>품질(시험실)</t>
        </is>
      </c>
      <c r="K136" s="4" t="n">
        <v>0.5</v>
      </c>
    </row>
    <row r="137">
      <c r="A137" s="4" t="inlineStr">
        <is>
          <t>XRD C₃A 증가</t>
        </is>
      </c>
      <c r="B137" s="4" t="inlineStr">
        <is>
          <t>화학</t>
        </is>
      </c>
      <c r="C137" s="4" t="inlineStr">
        <is>
          <t>IM(철률) 변화</t>
        </is>
      </c>
      <c r="D137" s="4" t="inlineStr">
        <is>
          <t>IM이 높으면 C₃A가 늘고 C₄AF가 줄어든다.</t>
        </is>
      </c>
      <c r="E137" s="4" t="inlineStr">
        <is>
          <t>클링커 IM↑</t>
        </is>
      </c>
      <c r="F137" s="4" t="inlineStr">
        <is>
          <t>클링커 IM·철질원 투입량 확인</t>
        </is>
      </c>
      <c r="G137" s="4" t="inlineStr">
        <is>
          <t>철질원 비율 조정</t>
        </is>
      </c>
      <c r="H137" s="4" t="inlineStr">
        <is>
          <t>IM 목표 범위 재설정</t>
        </is>
      </c>
      <c r="I137" s="4" t="inlineStr">
        <is>
          <t>이론</t>
        </is>
      </c>
      <c r="J137" s="4" t="inlineStr">
        <is>
          <t>생산(원료)</t>
        </is>
      </c>
      <c r="K137" s="4" t="n">
        <v>0.9</v>
      </c>
    </row>
    <row r="138">
      <c r="A138" s="4" t="inlineStr">
        <is>
          <t>XRD C₃A 증가</t>
        </is>
      </c>
      <c r="B138" s="4" t="inlineStr">
        <is>
          <t>설비</t>
        </is>
      </c>
      <c r="C138" s="4" t="inlineStr">
        <is>
          <t>클링커 서랭(냉각기)</t>
        </is>
      </c>
      <c r="D138" s="4" t="inlineStr">
        <is>
          <t>서랭 시 알라이트 일부 분해, 페리클레이스·C₃A 결정 조대화가 나타날 수 있다.</t>
        </is>
      </c>
      <c r="E138" s="4" t="inlineStr">
        <is>
          <t>2차 공기 온도↓</t>
        </is>
      </c>
      <c r="F138" s="4" t="inlineStr">
        <is>
          <t>냉각기 그레이트 속도·풍량 확인 / 클링커 현미경 관찰</t>
        </is>
      </c>
      <c r="G138" s="4" t="inlineStr">
        <is>
          <t>냉각기 운전 조건 조정</t>
        </is>
      </c>
      <c r="H138" s="4" t="inlineStr">
        <is>
          <t>냉각기 정비 계획 반영</t>
        </is>
      </c>
      <c r="I138" s="4" t="inlineStr">
        <is>
          <t>문헌+경험칙</t>
        </is>
      </c>
      <c r="J138" s="4" t="inlineStr">
        <is>
          <t>설비</t>
        </is>
      </c>
      <c r="K138" s="4" t="n">
        <v>0.4</v>
      </c>
    </row>
    <row r="139">
      <c r="A139" s="4" t="inlineStr">
        <is>
          <t>XRD C₃A 증가</t>
        </is>
      </c>
      <c r="B139" s="4" t="inlineStr">
        <is>
          <t>시험오차</t>
        </is>
      </c>
      <c r="C139" s="4" t="inlineStr">
        <is>
          <t>XRD 정량 오차(시료 조제·Rietveld 해석)</t>
        </is>
      </c>
      <c r="D139" s="4" t="inlineStr">
        <is>
          <t>XRD-Rietveld 정량은 분쇄 입도·선택 배향·구조모델·내부표준 설정에 따라 ±1~2%p 오차가 생길 수 있다(경험칙). XRF 기반 Bogue 계산값과 같은 방향으로 움직이지 않으면 분석 오차를 먼저 의심한다.</t>
        </is>
      </c>
      <c r="E139" s="4" t="inlineStr">
        <is>
          <t>이벤트 단발성↑</t>
        </is>
      </c>
      <c r="F139" s="4" t="inlineStr">
        <is>
          <t>동일 시료 재분쇄·재측정 / 표준 클링커(사내 기준시료)로 정량값 점검 / Rietveld 잔차(Rwp)·구조모델 변경 이력 확인</t>
        </is>
      </c>
      <c r="G139" s="4" t="inlineStr">
        <is>
          <t>재측정 결과로 판정 확정</t>
        </is>
      </c>
      <c r="H139" s="4" t="inlineStr">
        <is>
          <t>XRD 정량 관리도(기준시료) 운영 / XRF Bogue와의 상관 정기 점검</t>
        </is>
      </c>
      <c r="I139" s="4" t="inlineStr">
        <is>
          <t>경험칙</t>
        </is>
      </c>
      <c r="J139" s="4" t="inlineStr">
        <is>
          <t>품질(시험실)</t>
        </is>
      </c>
      <c r="K139" s="4" t="n">
        <v>0.5</v>
      </c>
    </row>
    <row r="140">
      <c r="A140" s="4" t="inlineStr">
        <is>
          <t>시멘트 수용성 6가크롬 상승</t>
        </is>
      </c>
      <c r="B140" s="4" t="inlineStr">
        <is>
          <t>원료</t>
        </is>
      </c>
      <c r="C140" s="4" t="inlineStr">
        <is>
          <t>원·부원료·연료 크롬 투입 증가</t>
        </is>
      </c>
      <c r="D140" s="4" t="inlineStr">
        <is>
          <t>크롬은 대부분 비휘발성이라 투입된 총 크롬이 거의 그대로 클링커에 남는다. 철질원 대체(제강슬래그)·석탄재·슬러지 등 고Cr 원료 Lot 변경이 대표 원인.</t>
        </is>
      </c>
      <c r="E140" s="4" t="inlineStr">
        <is>
          <t>클링커 총 크롬↑</t>
        </is>
      </c>
      <c r="F140" s="4" t="inlineStr">
        <is>
          <t>원·부원료·연료 Lot별 총 Cr 분석(XRF/ICP) / 입고 이력(철질원·대체원료 Lot 변경) 확인 / ☢️ 6가크롬 화면에서 물질수지로 기여도 확인</t>
        </is>
      </c>
      <c r="G140" s="4" t="inlineStr">
        <is>
          <t>고Cr 원료 사용 비율 축소·블렌딩 / 환원제 투입량 일시 증량</t>
        </is>
      </c>
      <c r="H140" s="4" t="inlineStr">
        <is>
          <t>원료·연료 입고 Cr 관리기준(mg/kg) 설정·성적서 확인 / Cr 물질수지 기반 사전 배합 검토</t>
        </is>
      </c>
      <c r="I140" s="4" t="inlineStr">
        <is>
          <t>문헌+경험칙</t>
        </is>
      </c>
      <c r="J140" s="4" t="inlineStr">
        <is>
          <t>생산(원료)</t>
        </is>
      </c>
      <c r="K140" s="4" t="n">
        <v>1.3</v>
      </c>
    </row>
    <row r="141">
      <c r="A141" s="4" t="inlineStr">
        <is>
          <t>시멘트 수용성 6가크롬 상승</t>
        </is>
      </c>
      <c r="B141" s="4" t="inlineStr">
        <is>
          <t>설비</t>
        </is>
      </c>
      <c r="C141" s="4" t="inlineStr">
        <is>
          <t>환원제 투입 부족·효과 저하</t>
        </is>
      </c>
      <c r="D141" s="4" t="inlineStr">
        <is>
          <t>황산제1철(FeSO₄)은 고온(밀 출구)·습기·장기 저장에서 산화·열화되어 환원 능력이 떨어진다. 정량공급기 막힘·설정 오류도 원인.</t>
        </is>
      </c>
      <c r="E141" s="4" t="inlineStr">
        <is>
          <t>시멘트밀 출구 온도↑</t>
        </is>
      </c>
      <c r="F141" s="4" t="inlineStr">
        <is>
          <t>환원제 정량공급기 투입량 실측(캘리브레이션) / 환원제 입고 Lot·보관기간·수분 상태 확인 / 밀 출구 온도·투입 위치 확인</t>
        </is>
      </c>
      <c r="G141" s="4" t="inlineStr">
        <is>
          <t>환원제 투입량 증량·공급기 정비 / 투입 위치를 밀 출구 이후(저온부)로 조정 검토</t>
        </is>
      </c>
      <c r="H141" s="4" t="inlineStr">
        <is>
          <t>환원제 선입선출·유효기간 관리 / 투입량 자동 연동(Cr⁶⁺ 예측값 기반) 제어</t>
        </is>
      </c>
      <c r="I141" s="4" t="inlineStr">
        <is>
          <t>문헌+경험칙</t>
        </is>
      </c>
      <c r="J141" s="4" t="inlineStr">
        <is>
          <t>생산(분쇄)</t>
        </is>
      </c>
      <c r="K141" s="4" t="n">
        <v>1</v>
      </c>
    </row>
    <row r="142">
      <c r="A142" s="4" t="inlineStr">
        <is>
          <t>시멘트 수용성 6가크롬 상승</t>
        </is>
      </c>
      <c r="B142" s="4" t="inlineStr">
        <is>
          <t>공정</t>
        </is>
      </c>
      <c r="C142" s="4" t="inlineStr">
        <is>
          <t>킬른 산화 분위기·알칼리 증가(전환율↑)</t>
        </is>
      </c>
      <c r="D142" s="4" t="inlineStr">
        <is>
          <t>Cr³⁺ → Cr⁶⁺ 전환은 산소 과잉·알칼리 과잉 조건에서 촉진된다(알칼리 크롬산염 생성).</t>
        </is>
      </c>
      <c r="E142" s="4" t="inlineStr">
        <is>
          <t>킬른 입구 O₂↑, 클링커 등가알칼리↑</t>
        </is>
      </c>
      <c r="F142" s="4" t="inlineStr">
        <is>
          <t>킬른 입구 O₂·과잉공기율 추이 / 클링커 Na₂Oeq·SO₃/알칼리 비(황산화도) / 클링커 Cr⁶⁺/총Cr 비율 추이</t>
        </is>
      </c>
      <c r="G142" s="4" t="inlineStr">
        <is>
          <t>O₂ 목표 범위 하향 운전(CO 상승 주의)</t>
        </is>
      </c>
      <c r="H142" s="4" t="inlineStr">
        <is>
          <t>연소 제어(O₂·CO) 최적화 / 알칼리 투입 관리·바이패스 운전 기준</t>
        </is>
      </c>
      <c r="I142" s="4" t="inlineStr">
        <is>
          <t>문헌</t>
        </is>
      </c>
      <c r="J142" s="4" t="inlineStr">
        <is>
          <t>생산(소성)</t>
        </is>
      </c>
      <c r="K142" s="4" t="n">
        <v>0.8</v>
      </c>
    </row>
    <row r="143">
      <c r="A143" s="4" t="inlineStr">
        <is>
          <t>시멘트 수용성 6가크롬 상승</t>
        </is>
      </c>
      <c r="B143" s="4" t="inlineStr">
        <is>
          <t>화학</t>
        </is>
      </c>
      <c r="C143" s="4" t="inlineStr">
        <is>
          <t>클링커 비율 증가(희석 감소)</t>
        </is>
      </c>
      <c r="D143" s="4" t="inlineStr">
        <is>
          <t>석회석 등 혼합재 비율이 줄면 클링커 유래 Cr⁶⁺가 덜 희석된다.</t>
        </is>
      </c>
      <c r="E143" s="4" t="inlineStr">
        <is>
          <t>석회석 혼합률↓</t>
        </is>
      </c>
      <c r="F143" s="4" t="inlineStr">
        <is>
          <t>혼합재 비율 확인</t>
        </is>
      </c>
      <c r="G143" s="4" t="inlineStr">
        <is>
          <t>-</t>
        </is>
      </c>
      <c r="H143" s="4" t="inlineStr">
        <is>
          <t>품종별 혼합재 비율 기준 관리</t>
        </is>
      </c>
      <c r="I143" s="4" t="inlineStr">
        <is>
          <t>이론</t>
        </is>
      </c>
      <c r="J143" s="4" t="inlineStr">
        <is>
          <t>품질</t>
        </is>
      </c>
      <c r="K143" s="4" t="n">
        <v>0.4</v>
      </c>
    </row>
    <row r="144">
      <c r="A144" s="4" t="inlineStr">
        <is>
          <t>시멘트 수용성 6가크롬 상승</t>
        </is>
      </c>
      <c r="B144" s="4" t="inlineStr">
        <is>
          <t>시험오차</t>
        </is>
      </c>
      <c r="C144" s="4" t="inlineStr">
        <is>
          <t>6가크롬 시험 오차(KS L 5221)</t>
        </is>
      </c>
      <c r="D144" s="4" t="inlineStr">
        <is>
          <t>수용성 Cr⁶⁺는 시료 보관 기간·추출 조건·발색(DPC) 시간에 민감하다. 단발성이면 재시험을 먼저 한다.</t>
        </is>
      </c>
      <c r="E144" s="4" t="inlineStr">
        <is>
          <t>이벤트 단발성↑</t>
        </is>
      </c>
      <c r="F144" s="4" t="inlineStr">
        <is>
          <t>보관 시료 재시험 / 표준용액 검량선·블랭크 확인 / 시료 채취 후 시험까지 경과시간 확인</t>
        </is>
      </c>
      <c r="G144" s="4" t="inlineStr">
        <is>
          <t>재시험 결과로 판정 확정</t>
        </is>
      </c>
      <c r="H144" s="4" t="inlineStr">
        <is>
          <t>시험 절차 표준화·정도관리</t>
        </is>
      </c>
      <c r="I144" s="4" t="inlineStr">
        <is>
          <t>규격+경험칙</t>
        </is>
      </c>
      <c r="J144" s="4" t="inlineStr">
        <is>
          <t>품질(시험실)</t>
        </is>
      </c>
      <c r="K144" s="4" t="n">
        <v>0.5</v>
      </c>
    </row>
    <row r="145">
      <c r="A145" s="4" t="inlineStr">
        <is>
          <t>클링커 수용성 Cr⁶⁺ 상승</t>
        </is>
      </c>
      <c r="B145" s="4" t="inlineStr">
        <is>
          <t>원료</t>
        </is>
      </c>
      <c r="C145" s="4" t="inlineStr">
        <is>
          <t>원·부원료·연료 크롬 투입 증가</t>
        </is>
      </c>
      <c r="D145" s="4" t="inlineStr">
        <is>
          <t>크롬은 대부분 비휘발성이라 투입된 총 크롬이 거의 그대로 클링커에 남는다. 철질원 대체(제강슬래그)·석탄재·슬러지 등 고Cr 원료 Lot 변경이 대표 원인.</t>
        </is>
      </c>
      <c r="E145" s="4" t="inlineStr">
        <is>
          <t>클링커 총 크롬↑</t>
        </is>
      </c>
      <c r="F145" s="4" t="inlineStr">
        <is>
          <t>원·부원료·연료 Lot별 총 Cr 분석(XRF/ICP) / 입고 이력(철질원·대체원료 Lot 변경) 확인 / ☢️ 6가크롬 화면에서 물질수지로 기여도 확인</t>
        </is>
      </c>
      <c r="G145" s="4" t="inlineStr">
        <is>
          <t>고Cr 원료 사용 비율 축소·블렌딩 / 환원제 투입량 일시 증량</t>
        </is>
      </c>
      <c r="H145" s="4" t="inlineStr">
        <is>
          <t>원료·연료 입고 Cr 관리기준(mg/kg) 설정·성적서 확인 / Cr 물질수지 기반 사전 배합 검토</t>
        </is>
      </c>
      <c r="I145" s="4" t="inlineStr">
        <is>
          <t>문헌+경험칙</t>
        </is>
      </c>
      <c r="J145" s="4" t="inlineStr">
        <is>
          <t>생산(원료)</t>
        </is>
      </c>
      <c r="K145" s="4" t="n">
        <v>1.3</v>
      </c>
    </row>
    <row r="146">
      <c r="A146" s="4" t="inlineStr">
        <is>
          <t>클링커 수용성 Cr⁶⁺ 상승</t>
        </is>
      </c>
      <c r="B146" s="4" t="inlineStr">
        <is>
          <t>공정</t>
        </is>
      </c>
      <c r="C146" s="4" t="inlineStr">
        <is>
          <t>킬른 산화 분위기·알칼리 증가(전환율↑)</t>
        </is>
      </c>
      <c r="D146" s="4" t="inlineStr">
        <is>
          <t>Cr³⁺ → Cr⁶⁺ 전환은 산소 과잉·알칼리 과잉 조건에서 촉진된다(알칼리 크롬산염 생성).</t>
        </is>
      </c>
      <c r="E146" s="4" t="inlineStr">
        <is>
          <t>킬른 입구 O₂↑, 클링커 등가알칼리↑</t>
        </is>
      </c>
      <c r="F146" s="4" t="inlineStr">
        <is>
          <t>킬른 입구 O₂·과잉공기율 추이 / 클링커 Na₂Oeq·SO₃/알칼리 비(황산화도) / 클링커 Cr⁶⁺/총Cr 비율 추이</t>
        </is>
      </c>
      <c r="G146" s="4" t="inlineStr">
        <is>
          <t>O₂ 목표 범위 하향 운전(CO 상승 주의)</t>
        </is>
      </c>
      <c r="H146" s="4" t="inlineStr">
        <is>
          <t>연소 제어(O₂·CO) 최적화 / 알칼리 투입 관리·바이패스 운전 기준</t>
        </is>
      </c>
      <c r="I146" s="4" t="inlineStr">
        <is>
          <t>문헌</t>
        </is>
      </c>
      <c r="J146" s="4" t="inlineStr">
        <is>
          <t>생산(소성)</t>
        </is>
      </c>
      <c r="K146" s="4" t="n">
        <v>0.8</v>
      </c>
    </row>
    <row r="147">
      <c r="A147" s="4" t="inlineStr">
        <is>
          <t>클링커 수용성 Cr⁶⁺ 상승</t>
        </is>
      </c>
      <c r="B147" s="4" t="inlineStr">
        <is>
          <t>시험오차</t>
        </is>
      </c>
      <c r="C147" s="4" t="inlineStr">
        <is>
          <t>클링커 Cr⁶⁺ 분석·시료 채취 오차</t>
        </is>
      </c>
      <c r="D147" s="4" t="inlineStr">
        <is>
          <t>단발성 이탈이면서 연관 항목에 변화가 없으면 시료 대표성·분석 오차 가능성이 높다.</t>
        </is>
      </c>
      <c r="E147" s="4" t="inlineStr">
        <is>
          <t>이벤트 단발성↑</t>
        </is>
      </c>
      <c r="F147" s="4" t="inlineStr">
        <is>
          <t>동일 시료 재분석(이중 분석) / 표준시료(CRM)로 분석기 점검 / 시료 채취 위치·방법 확인</t>
        </is>
      </c>
      <c r="G147" s="4" t="inlineStr">
        <is>
          <t>재분석 결과로 판정 확정 / 재분석 전까지 조치는 보류하되 다음 시료 채취 주기 단축</t>
        </is>
      </c>
      <c r="H147" s="4" t="inlineStr">
        <is>
          <t>분석기 일상 점검(표준시료 관리도) 운영 / 시료 채취 절차서 정비</t>
        </is>
      </c>
      <c r="I147" s="4" t="inlineStr">
        <is>
          <t>경험칙</t>
        </is>
      </c>
      <c r="J147" s="4" t="inlineStr">
        <is>
          <t>품질(시험실)</t>
        </is>
      </c>
      <c r="K147" s="4" t="n">
        <v>0.5</v>
      </c>
    </row>
    <row r="148">
      <c r="A148" s="4" t="inlineStr">
        <is>
          <t>클링커 총 크롬 상승</t>
        </is>
      </c>
      <c r="B148" s="4" t="inlineStr">
        <is>
          <t>원료</t>
        </is>
      </c>
      <c r="C148" s="4" t="inlineStr">
        <is>
          <t>고Cr 원·부원료 투입</t>
        </is>
      </c>
      <c r="D148" s="4" t="inlineStr">
        <is>
          <t>철질원 대체(제강슬래그)·석탄재·슬러지 등 Lot 변경.</t>
        </is>
      </c>
      <c r="E148" s="4" t="inlineStr">
        <is>
          <t>없음(현장 확인)</t>
        </is>
      </c>
      <c r="F148" s="4" t="inlineStr">
        <is>
          <t>원·부원료·연료 Lot별 총 Cr 분석(XRF/ICP) / 입고 이력(철질원·대체원료 Lot 변경) 확인 / ☢️ 6가크롬 화면에서 물질수지로 기여도 확인</t>
        </is>
      </c>
      <c r="G148" s="4" t="inlineStr">
        <is>
          <t>고Cr 원료 사용 비율 축소·블렌딩 / 환원제 투입량 일시 증량</t>
        </is>
      </c>
      <c r="H148" s="4" t="inlineStr">
        <is>
          <t>원료·연료 입고 Cr 관리기준(mg/kg) 설정·성적서 확인 / Cr 물질수지 기반 사전 배합 검토</t>
        </is>
      </c>
      <c r="I148" s="4" t="inlineStr">
        <is>
          <t>경험칙</t>
        </is>
      </c>
      <c r="J148" s="4" t="inlineStr">
        <is>
          <t>생산(원료)</t>
        </is>
      </c>
      <c r="K148" s="4" t="n">
        <v>1.2</v>
      </c>
    </row>
    <row r="149">
      <c r="A149" s="4" t="inlineStr">
        <is>
          <t>클링커 총 크롬 상승</t>
        </is>
      </c>
      <c r="B149" s="4" t="inlineStr">
        <is>
          <t>설비</t>
        </is>
      </c>
      <c r="C149" s="4" t="inlineStr">
        <is>
          <t>크롬계 내화물 마모 증가</t>
        </is>
      </c>
      <c r="D149" s="4" t="inlineStr">
        <is>
          <t>마그네시아-크롬 벽돌 마모·탈락 시 클링커 Cr이 증가한다.</t>
        </is>
      </c>
      <c r="E149" s="4" t="inlineStr">
        <is>
          <t>없음(현장 확인)</t>
        </is>
      </c>
      <c r="F149" s="4" t="inlineStr">
        <is>
          <t>킬른 쉘 온도·내화물 점검 이력 / 내화물 원단위(kg/t) 확인</t>
        </is>
      </c>
      <c r="G149" s="4" t="inlineStr">
        <is>
          <t>코팅 보호 운전</t>
        </is>
      </c>
      <c r="H149" s="4" t="inlineStr">
        <is>
          <t>크롬프리 내화물(마그네시아-스피넬) 전환 검토</t>
        </is>
      </c>
      <c r="I149" s="4" t="inlineStr">
        <is>
          <t>문헌</t>
        </is>
      </c>
      <c r="J149" s="4" t="inlineStr">
        <is>
          <t>설비</t>
        </is>
      </c>
      <c r="K149" s="4" t="n">
        <v>0.6</v>
      </c>
    </row>
    <row r="150">
      <c r="A150" s="4" t="inlineStr">
        <is>
          <t>클링커 총 크롬 상승</t>
        </is>
      </c>
      <c r="B150" s="4" t="inlineStr">
        <is>
          <t>시험오차</t>
        </is>
      </c>
      <c r="C150" s="4" t="inlineStr">
        <is>
          <t>총 크롬 분석·시료 채취 오차</t>
        </is>
      </c>
      <c r="D150" s="4" t="inlineStr">
        <is>
          <t>단발성 이탈이면서 연관 항목에 변화가 없으면 시료 대표성·분석 오차 가능성이 높다.</t>
        </is>
      </c>
      <c r="E150" s="4" t="inlineStr">
        <is>
          <t>이벤트 단발성↑</t>
        </is>
      </c>
      <c r="F150" s="4" t="inlineStr">
        <is>
          <t>동일 시료 재분석(이중 분석) / 표준시료(CRM)로 분석기 점검 / 시료 채취 위치·방법 확인</t>
        </is>
      </c>
      <c r="G150" s="4" t="inlineStr">
        <is>
          <t>재분석 결과로 판정 확정 / 재분석 전까지 조치는 보류하되 다음 시료 채취 주기 단축</t>
        </is>
      </c>
      <c r="H150" s="4" t="inlineStr">
        <is>
          <t>분석기 일상 점검(표준시료 관리도) 운영 / 시료 채취 절차서 정비</t>
        </is>
      </c>
      <c r="I150" s="4" t="inlineStr">
        <is>
          <t>경험칙</t>
        </is>
      </c>
      <c r="J150" s="4" t="inlineStr">
        <is>
          <t>품질(시험실)</t>
        </is>
      </c>
      <c r="K150" s="4" t="n">
        <v>0.5</v>
      </c>
    </row>
    <row r="151">
      <c r="A151" s="4" t="inlineStr">
        <is>
          <t>석회석 혼합률 상승</t>
        </is>
      </c>
      <c r="B151" s="4" t="inlineStr">
        <is>
          <t>설비</t>
        </is>
      </c>
      <c r="C151" s="4" t="inlineStr">
        <is>
          <t>석회석 정량공급기 이상·설정 오류</t>
        </is>
      </c>
      <c r="D151" s="4" t="inlineStr">
        <is>
          <t>공급기 계량 오차나 설정 변경으로 혼합률이 늘 수 있다.</t>
        </is>
      </c>
      <c r="E151" s="4" t="inlineStr">
        <is>
          <t>시멘트 강열감량↑</t>
        </is>
      </c>
      <c r="F151" s="4" t="inlineStr">
        <is>
          <t>공급기 교정·설정값 변경 이력 확인 / 밀 투입 비율 실측(벨트 스케일)</t>
        </is>
      </c>
      <c r="G151" s="4" t="inlineStr">
        <is>
          <t>공급기 설정 원복·교정</t>
        </is>
      </c>
      <c r="H151" s="4" t="inlineStr">
        <is>
          <t>정량공급기 정기 교정·설정 변경 승인 절차</t>
        </is>
      </c>
      <c r="I151" s="4" t="inlineStr">
        <is>
          <t>경험칙</t>
        </is>
      </c>
      <c r="J151" s="4" t="inlineStr">
        <is>
          <t>생산(분쇄)</t>
        </is>
      </c>
      <c r="K151" s="4" t="n">
        <v>1.2</v>
      </c>
    </row>
    <row r="152">
      <c r="A152" s="4" t="inlineStr">
        <is>
          <t>석회석 혼합률 상승</t>
        </is>
      </c>
      <c r="B152" s="4" t="inlineStr">
        <is>
          <t>화학</t>
        </is>
      </c>
      <c r="C152" s="4" t="inlineStr">
        <is>
          <t>혼합률 산정 오차(강열감량·CaCO₃ 분석)</t>
        </is>
      </c>
      <c r="D152" s="4" t="inlineStr">
        <is>
          <t>혼합률을 강열감량·CO₂로 역산하는 경우 석고 결정수·클링커 풍화 변동이 오차가 된다.</t>
        </is>
      </c>
      <c r="E152" s="4" t="inlineStr">
        <is>
          <t>없음(현장 확인)</t>
        </is>
      </c>
      <c r="F152" s="4" t="inlineStr">
        <is>
          <t>CO₂ 직접 분석(탄소분석기)으로 혼합률 확인 / 석고 결정수 확인</t>
        </is>
      </c>
      <c r="G152" s="4" t="inlineStr">
        <is>
          <t>분석 방법 확인 후 판정</t>
        </is>
      </c>
      <c r="H152" s="4" t="inlineStr">
        <is>
          <t>혼합률 산정식·분석법 표준화</t>
        </is>
      </c>
      <c r="I152" s="4" t="inlineStr">
        <is>
          <t>경험칙</t>
        </is>
      </c>
      <c r="J152" s="4" t="inlineStr">
        <is>
          <t>품질</t>
        </is>
      </c>
      <c r="K152" s="4" t="n">
        <v>0.6</v>
      </c>
    </row>
    <row r="153">
      <c r="A153" s="4" t="inlineStr">
        <is>
          <t>석회석 혼합률 상승</t>
        </is>
      </c>
      <c r="B153" s="4" t="inlineStr">
        <is>
          <t>시험오차</t>
        </is>
      </c>
      <c r="C153" s="4" t="inlineStr">
        <is>
          <t>석회석 혼합률 분석·시료 채취 오차</t>
        </is>
      </c>
      <c r="D153" s="4" t="inlineStr">
        <is>
          <t>단발성 이탈이면서 연관 항목에 변화가 없으면 시료 대표성·분석 오차 가능성이 높다.</t>
        </is>
      </c>
      <c r="E153" s="4" t="inlineStr">
        <is>
          <t>이벤트 단발성↑</t>
        </is>
      </c>
      <c r="F153" s="4" t="inlineStr">
        <is>
          <t>동일 시료 재분석(이중 분석) / 표준시료(CRM)로 분석기 점검 / 시료 채취 위치·방법 확인</t>
        </is>
      </c>
      <c r="G153" s="4" t="inlineStr">
        <is>
          <t>재분석 결과로 판정 확정 / 재분석 전까지 조치는 보류하되 다음 시료 채취 주기 단축</t>
        </is>
      </c>
      <c r="H153" s="4" t="inlineStr">
        <is>
          <t>분석기 일상 점검(표준시료 관리도) 운영 / 시료 채취 절차서 정비</t>
        </is>
      </c>
      <c r="I153" s="4" t="inlineStr">
        <is>
          <t>경험칙</t>
        </is>
      </c>
      <c r="J153" s="4" t="inlineStr">
        <is>
          <t>품질(시험실)</t>
        </is>
      </c>
      <c r="K153" s="4" t="n">
        <v>0.5</v>
      </c>
    </row>
    <row r="154">
      <c r="A154" s="4" t="inlineStr">
        <is>
          <t>양생수 온도 이탈(시험조건)</t>
        </is>
      </c>
      <c r="B154" s="4" t="inlineStr">
        <is>
          <t>설비</t>
        </is>
      </c>
      <c r="C154" s="4" t="inlineStr">
        <is>
          <t>항온·항습 설비 이상</t>
        </is>
      </c>
      <c r="D154" s="4" t="inlineStr">
        <is>
          <t>양생수조 히터/칠러, 시험실 공조기 고장·설정 오류.</t>
        </is>
      </c>
      <c r="E154" s="4" t="inlineStr">
        <is>
          <t>없음(현장 확인)</t>
        </is>
      </c>
      <c r="F154" s="4" t="inlineStr">
        <is>
          <t>온도 기록계·제어기 상태 확인 / 센서 교정 상태 확인</t>
        </is>
      </c>
      <c r="G154" s="4" t="inlineStr">
        <is>
          <t>설비 수리·예비 설비 사용</t>
        </is>
      </c>
      <c r="H154" s="4" t="inlineStr">
        <is>
          <t>자동 기록·이탈 알람 체계 / 정기 교정</t>
        </is>
      </c>
      <c r="I154" s="4" t="inlineStr">
        <is>
          <t>규격</t>
        </is>
      </c>
      <c r="J154" s="4" t="inlineStr">
        <is>
          <t>품질(시험실)</t>
        </is>
      </c>
      <c r="K154" s="4" t="n">
        <v>1.2</v>
      </c>
    </row>
    <row r="155">
      <c r="A155" s="4" t="inlineStr">
        <is>
          <t>양생수 온도 이탈(시험조건)</t>
        </is>
      </c>
      <c r="B155" s="4" t="inlineStr">
        <is>
          <t>시험오차</t>
        </is>
      </c>
      <c r="C155" s="4" t="inlineStr">
        <is>
          <t>기록 오류·센서 오차</t>
        </is>
      </c>
      <c r="D155" s="4" t="inlineStr">
        <is>
          <t>측정 센서 위치·교정 오차 또는 기록 누락.</t>
        </is>
      </c>
      <c r="E155" s="4" t="inlineStr">
        <is>
          <t>이벤트 단발성↑</t>
        </is>
      </c>
      <c r="F155" s="4" t="inlineStr">
        <is>
          <t>기준 온도계로 비교 측정</t>
        </is>
      </c>
      <c r="G155" s="4" t="inlineStr">
        <is>
          <t>센서 재교정</t>
        </is>
      </c>
      <c r="H155" s="4" t="inlineStr">
        <is>
          <t>센서 이중화</t>
        </is>
      </c>
      <c r="I155" s="4" t="inlineStr">
        <is>
          <t>경험칙</t>
        </is>
      </c>
      <c r="J155" s="4" t="inlineStr">
        <is>
          <t>품질(시험실)</t>
        </is>
      </c>
      <c r="K155" s="4" t="n">
        <v>0.6</v>
      </c>
    </row>
    <row r="156">
      <c r="A156" s="4" t="inlineStr">
        <is>
          <t>시험실 온도 이탈(시험조건)</t>
        </is>
      </c>
      <c r="B156" s="4" t="inlineStr">
        <is>
          <t>설비</t>
        </is>
      </c>
      <c r="C156" s="4" t="inlineStr">
        <is>
          <t>항온·항습 설비 이상</t>
        </is>
      </c>
      <c r="D156" s="4" t="inlineStr">
        <is>
          <t>양생수조 히터/칠러, 시험실 공조기 고장·설정 오류.</t>
        </is>
      </c>
      <c r="E156" s="4" t="inlineStr">
        <is>
          <t>없음(현장 확인)</t>
        </is>
      </c>
      <c r="F156" s="4" t="inlineStr">
        <is>
          <t>온도 기록계·제어기 상태 확인 / 센서 교정 상태 확인</t>
        </is>
      </c>
      <c r="G156" s="4" t="inlineStr">
        <is>
          <t>설비 수리·예비 설비 사용</t>
        </is>
      </c>
      <c r="H156" s="4" t="inlineStr">
        <is>
          <t>자동 기록·이탈 알람 체계 / 정기 교정</t>
        </is>
      </c>
      <c r="I156" s="4" t="inlineStr">
        <is>
          <t>규격</t>
        </is>
      </c>
      <c r="J156" s="4" t="inlineStr">
        <is>
          <t>품질(시험실)</t>
        </is>
      </c>
      <c r="K156" s="4" t="n">
        <v>1.2</v>
      </c>
    </row>
    <row r="157">
      <c r="A157" s="4" t="inlineStr">
        <is>
          <t>시험실 온도 이탈(시험조건)</t>
        </is>
      </c>
      <c r="B157" s="4" t="inlineStr">
        <is>
          <t>시험오차</t>
        </is>
      </c>
      <c r="C157" s="4" t="inlineStr">
        <is>
          <t>기록 오류·센서 오차</t>
        </is>
      </c>
      <c r="D157" s="4" t="inlineStr">
        <is>
          <t>측정 센서 위치·교정 오차 또는 기록 누락.</t>
        </is>
      </c>
      <c r="E157" s="4" t="inlineStr">
        <is>
          <t>이벤트 단발성↑</t>
        </is>
      </c>
      <c r="F157" s="4" t="inlineStr">
        <is>
          <t>기준 온도계로 비교 측정</t>
        </is>
      </c>
      <c r="G157" s="4" t="inlineStr">
        <is>
          <t>센서 재교정</t>
        </is>
      </c>
      <c r="H157" s="4" t="inlineStr">
        <is>
          <t>센서 이중화</t>
        </is>
      </c>
      <c r="I157" s="4" t="inlineStr">
        <is>
          <t>경험칙</t>
        </is>
      </c>
      <c r="J157" s="4" t="inlineStr">
        <is>
          <t>품질(시험실)</t>
        </is>
      </c>
      <c r="K157" s="4" t="n">
        <v>0.6</v>
      </c>
    </row>
    <row r="158">
      <c r="A158" s="4" t="inlineStr">
        <is>
          <t>시험실 습도 이탈(시험조건)</t>
        </is>
      </c>
      <c r="B158" s="4" t="inlineStr">
        <is>
          <t>설비</t>
        </is>
      </c>
      <c r="C158" s="4" t="inlineStr">
        <is>
          <t>항온·항습 설비 이상</t>
        </is>
      </c>
      <c r="D158" s="4" t="inlineStr">
        <is>
          <t>양생수조 히터/칠러, 시험실 공조기 고장·설정 오류.</t>
        </is>
      </c>
      <c r="E158" s="4" t="inlineStr">
        <is>
          <t>없음(현장 확인)</t>
        </is>
      </c>
      <c r="F158" s="4" t="inlineStr">
        <is>
          <t>온도 기록계·제어기 상태 확인 / 센서 교정 상태 확인</t>
        </is>
      </c>
      <c r="G158" s="4" t="inlineStr">
        <is>
          <t>설비 수리·예비 설비 사용</t>
        </is>
      </c>
      <c r="H158" s="4" t="inlineStr">
        <is>
          <t>자동 기록·이탈 알람 체계 / 정기 교정</t>
        </is>
      </c>
      <c r="I158" s="4" t="inlineStr">
        <is>
          <t>규격</t>
        </is>
      </c>
      <c r="J158" s="4" t="inlineStr">
        <is>
          <t>품질(시험실)</t>
        </is>
      </c>
      <c r="K158" s="4" t="n">
        <v>1.2</v>
      </c>
    </row>
    <row r="159">
      <c r="A159" s="4" t="inlineStr">
        <is>
          <t>시험실 습도 이탈(시험조건)</t>
        </is>
      </c>
      <c r="B159" s="4" t="inlineStr">
        <is>
          <t>시험오차</t>
        </is>
      </c>
      <c r="C159" s="4" t="inlineStr">
        <is>
          <t>기록 오류·센서 오차</t>
        </is>
      </c>
      <c r="D159" s="4" t="inlineStr">
        <is>
          <t>측정 센서 위치·교정 오차 또는 기록 누락.</t>
        </is>
      </c>
      <c r="E159" s="4" t="inlineStr">
        <is>
          <t>이벤트 단발성↑</t>
        </is>
      </c>
      <c r="F159" s="4" t="inlineStr">
        <is>
          <t>기준 온도계로 비교 측정</t>
        </is>
      </c>
      <c r="G159" s="4" t="inlineStr">
        <is>
          <t>센서 재교정</t>
        </is>
      </c>
      <c r="H159" s="4" t="inlineStr">
        <is>
          <t>센서 이중화</t>
        </is>
      </c>
      <c r="I159" s="4" t="inlineStr">
        <is>
          <t>경험칙</t>
        </is>
      </c>
      <c r="J159" s="4" t="inlineStr">
        <is>
          <t>품질(시험실)</t>
        </is>
      </c>
      <c r="K159" s="4" t="n">
        <v>0.6</v>
      </c>
    </row>
    <row r="161">
      <c r="A161" s="2" t="inlineStr">
        <is>
          <t>※ 메커니즘의 정량 수치(예: Blaine 100 cm²/g 당 강도 변화)는 업계 경험칙(추정)이며 공장 데이터로 검증 후 수정할 것. 사전 가중치 = 경험상 발생 빈도(1.0 보통).</t>
        </is>
      </c>
    </row>
  </sheetData>
  <autoFilter ref="A1:K1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zoomScale="9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9" customWidth="1" min="4" max="4"/>
    <col width="10" customWidth="1" min="5" max="5"/>
    <col width="8" customWidth="1" min="6" max="6"/>
  </cols>
  <sheetData>
    <row r="1" ht="30" customHeight="1">
      <c r="A1" s="9" t="inlineStr">
        <is>
          <t>엑셀 시트</t>
        </is>
      </c>
      <c r="B1" s="9" t="inlineStr">
        <is>
          <t>열 코드</t>
        </is>
      </c>
      <c r="C1" s="9" t="inlineStr">
        <is>
          <t>설명</t>
        </is>
      </c>
      <c r="D1" s="9" t="inlineStr">
        <is>
          <t>단위</t>
        </is>
      </c>
      <c r="E1" s="9" t="inlineStr">
        <is>
          <t>측정 주기</t>
        </is>
      </c>
      <c r="F1" s="9" t="inlineStr">
        <is>
          <t>필수</t>
        </is>
      </c>
    </row>
    <row r="2">
      <c r="A2" s="4" t="inlineStr">
        <is>
          <t>원료</t>
        </is>
      </c>
      <c r="B2" s="4" t="inlineStr">
        <is>
          <t>timestamp</t>
        </is>
      </c>
      <c r="C2" s="4" t="inlineStr">
        <is>
          <t>측정일시(예: 2026-10-07 14:00)</t>
        </is>
      </c>
      <c r="D2" s="4" t="inlineStr">
        <is>
          <t>-</t>
        </is>
      </c>
      <c r="E2" s="4" t="inlineStr">
        <is>
          <t>2시간</t>
        </is>
      </c>
      <c r="F2" s="4" t="inlineStr">
        <is>
          <t>필수</t>
        </is>
      </c>
    </row>
    <row r="3">
      <c r="A3" s="4" t="inlineStr">
        <is>
          <t>원료</t>
        </is>
      </c>
      <c r="B3" s="4" t="inlineStr">
        <is>
          <t>line</t>
        </is>
      </c>
      <c r="C3" s="4" t="inlineStr">
        <is>
          <t>line</t>
        </is>
      </c>
      <c r="D3" s="4" t="inlineStr">
        <is>
          <t>-</t>
        </is>
      </c>
      <c r="E3" s="4" t="inlineStr">
        <is>
          <t>2시간</t>
        </is>
      </c>
      <c r="F3" s="4" t="inlineStr">
        <is>
          <t>선택</t>
        </is>
      </c>
    </row>
    <row r="4">
      <c r="A4" s="4" t="inlineStr">
        <is>
          <t>원료</t>
        </is>
      </c>
      <c r="B4" s="4" t="inlineStr">
        <is>
          <t>grade</t>
        </is>
      </c>
      <c r="C4" s="4" t="inlineStr">
        <is>
          <t>grade</t>
        </is>
      </c>
      <c r="D4" s="4" t="inlineStr">
        <is>
          <t>-</t>
        </is>
      </c>
      <c r="E4" s="4" t="inlineStr">
        <is>
          <t>2시간</t>
        </is>
      </c>
      <c r="F4" s="4" t="inlineStr">
        <is>
          <t>선택</t>
        </is>
      </c>
    </row>
    <row r="5">
      <c r="A5" s="4" t="inlineStr">
        <is>
          <t>원료</t>
        </is>
      </c>
      <c r="B5" s="4" t="inlineStr">
        <is>
          <t>rm_cao</t>
        </is>
      </c>
      <c r="C5" s="4" t="inlineStr">
        <is>
          <t>원료 CaO</t>
        </is>
      </c>
      <c r="D5" s="4" t="inlineStr">
        <is>
          <t>%</t>
        </is>
      </c>
      <c r="E5" s="4" t="inlineStr">
        <is>
          <t>2시간</t>
        </is>
      </c>
      <c r="F5" s="4" t="inlineStr">
        <is>
          <t>선택</t>
        </is>
      </c>
    </row>
    <row r="6">
      <c r="A6" s="4" t="inlineStr">
        <is>
          <t>원료</t>
        </is>
      </c>
      <c r="B6" s="4" t="inlineStr">
        <is>
          <t>rm_sio2</t>
        </is>
      </c>
      <c r="C6" s="4" t="inlineStr">
        <is>
          <t>원료 SiO₂</t>
        </is>
      </c>
      <c r="D6" s="4" t="inlineStr">
        <is>
          <t>%</t>
        </is>
      </c>
      <c r="E6" s="4" t="inlineStr">
        <is>
          <t>2시간</t>
        </is>
      </c>
      <c r="F6" s="4" t="inlineStr">
        <is>
          <t>선택</t>
        </is>
      </c>
    </row>
    <row r="7">
      <c r="A7" s="4" t="inlineStr">
        <is>
          <t>원료</t>
        </is>
      </c>
      <c r="B7" s="4" t="inlineStr">
        <is>
          <t>rm_al2o3</t>
        </is>
      </c>
      <c r="C7" s="4" t="inlineStr">
        <is>
          <t>원료 Al₂O₃</t>
        </is>
      </c>
      <c r="D7" s="4" t="inlineStr">
        <is>
          <t>%</t>
        </is>
      </c>
      <c r="E7" s="4" t="inlineStr">
        <is>
          <t>2시간</t>
        </is>
      </c>
      <c r="F7" s="4" t="inlineStr">
        <is>
          <t>선택</t>
        </is>
      </c>
    </row>
    <row r="8">
      <c r="A8" s="4" t="inlineStr">
        <is>
          <t>원료</t>
        </is>
      </c>
      <c r="B8" s="4" t="inlineStr">
        <is>
          <t>rm_fe2o3</t>
        </is>
      </c>
      <c r="C8" s="4" t="inlineStr">
        <is>
          <t>원료 Fe₂O₃</t>
        </is>
      </c>
      <c r="D8" s="4" t="inlineStr">
        <is>
          <t>%</t>
        </is>
      </c>
      <c r="E8" s="4" t="inlineStr">
        <is>
          <t>2시간</t>
        </is>
      </c>
      <c r="F8" s="4" t="inlineStr">
        <is>
          <t>선택</t>
        </is>
      </c>
    </row>
    <row r="9">
      <c r="A9" s="4" t="inlineStr">
        <is>
          <t>원료</t>
        </is>
      </c>
      <c r="B9" s="4" t="inlineStr">
        <is>
          <t>rm_mgo</t>
        </is>
      </c>
      <c r="C9" s="4" t="inlineStr">
        <is>
          <t>원료 MgO</t>
        </is>
      </c>
      <c r="D9" s="4" t="inlineStr">
        <is>
          <t>%</t>
        </is>
      </c>
      <c r="E9" s="4" t="inlineStr">
        <is>
          <t>2시간</t>
        </is>
      </c>
      <c r="F9" s="4" t="inlineStr">
        <is>
          <t>선택</t>
        </is>
      </c>
    </row>
    <row r="10">
      <c r="A10" s="4" t="inlineStr">
        <is>
          <t>원료</t>
        </is>
      </c>
      <c r="B10" s="4" t="inlineStr">
        <is>
          <t>rm_so3</t>
        </is>
      </c>
      <c r="C10" s="4" t="inlineStr">
        <is>
          <t>원료 SO₃</t>
        </is>
      </c>
      <c r="D10" s="4" t="inlineStr">
        <is>
          <t>%</t>
        </is>
      </c>
      <c r="E10" s="4" t="inlineStr">
        <is>
          <t>2시간</t>
        </is>
      </c>
      <c r="F10" s="4" t="inlineStr">
        <is>
          <t>선택</t>
        </is>
      </c>
    </row>
    <row r="11">
      <c r="A11" s="4" t="inlineStr">
        <is>
          <t>원료</t>
        </is>
      </c>
      <c r="B11" s="4" t="inlineStr">
        <is>
          <t>rm_k2o</t>
        </is>
      </c>
      <c r="C11" s="4" t="inlineStr">
        <is>
          <t>원료 K₂O</t>
        </is>
      </c>
      <c r="D11" s="4" t="inlineStr">
        <is>
          <t>%</t>
        </is>
      </c>
      <c r="E11" s="4" t="inlineStr">
        <is>
          <t>2시간</t>
        </is>
      </c>
      <c r="F11" s="4" t="inlineStr">
        <is>
          <t>선택</t>
        </is>
      </c>
    </row>
    <row r="12">
      <c r="A12" s="4" t="inlineStr">
        <is>
          <t>원료</t>
        </is>
      </c>
      <c r="B12" s="4" t="inlineStr">
        <is>
          <t>rm_na2o</t>
        </is>
      </c>
      <c r="C12" s="4" t="inlineStr">
        <is>
          <t>원료 Na₂O</t>
        </is>
      </c>
      <c r="D12" s="4" t="inlineStr">
        <is>
          <t>%</t>
        </is>
      </c>
      <c r="E12" s="4" t="inlineStr">
        <is>
          <t>2시간</t>
        </is>
      </c>
      <c r="F12" s="4" t="inlineStr">
        <is>
          <t>선택</t>
        </is>
      </c>
    </row>
    <row r="13">
      <c r="A13" s="4" t="inlineStr">
        <is>
          <t>원료</t>
        </is>
      </c>
      <c r="B13" s="4" t="inlineStr">
        <is>
          <t>rm_r90</t>
        </is>
      </c>
      <c r="C13" s="4" t="inlineStr">
        <is>
          <t>원료 90μm 잔사</t>
        </is>
      </c>
      <c r="D13" s="4" t="inlineStr">
        <is>
          <t>%</t>
        </is>
      </c>
      <c r="E13" s="4" t="inlineStr">
        <is>
          <t>2시간</t>
        </is>
      </c>
      <c r="F13" s="4" t="inlineStr">
        <is>
          <t>선택</t>
        </is>
      </c>
    </row>
    <row r="14">
      <c r="A14" s="4" t="inlineStr">
        <is>
          <t>원료</t>
        </is>
      </c>
      <c r="B14" s="4" t="inlineStr">
        <is>
          <t>rm_r200</t>
        </is>
      </c>
      <c r="C14" s="4" t="inlineStr">
        <is>
          <t>원료 200μm 잔사</t>
        </is>
      </c>
      <c r="D14" s="4" t="inlineStr">
        <is>
          <t>%</t>
        </is>
      </c>
      <c r="E14" s="4" t="inlineStr">
        <is>
          <t>2시간</t>
        </is>
      </c>
      <c r="F14" s="4" t="inlineStr">
        <is>
          <t>선택</t>
        </is>
      </c>
    </row>
    <row r="15">
      <c r="A15" s="4" t="inlineStr">
        <is>
          <t>원료</t>
        </is>
      </c>
      <c r="B15" s="4" t="inlineStr">
        <is>
          <t>rm_loi</t>
        </is>
      </c>
      <c r="C15" s="4" t="inlineStr">
        <is>
          <t>원료 강열감량</t>
        </is>
      </c>
      <c r="D15" s="4" t="inlineStr">
        <is>
          <t>%</t>
        </is>
      </c>
      <c r="E15" s="4" t="inlineStr">
        <is>
          <t>2시간</t>
        </is>
      </c>
      <c r="F15" s="4" t="inlineStr">
        <is>
          <t>선택</t>
        </is>
      </c>
    </row>
    <row r="16">
      <c r="A16" s="4" t="inlineStr">
        <is>
          <t>원료</t>
        </is>
      </c>
      <c r="B16" s="4" t="inlineStr">
        <is>
          <t>rm_mx_lime</t>
        </is>
      </c>
      <c r="C16" s="4" t="inlineStr">
        <is>
          <t>rm_mx_lime</t>
        </is>
      </c>
      <c r="D16" s="4" t="inlineStr">
        <is>
          <t>-</t>
        </is>
      </c>
      <c r="E16" s="4" t="inlineStr">
        <is>
          <t>2시간</t>
        </is>
      </c>
      <c r="F16" s="4" t="inlineStr">
        <is>
          <t>선택</t>
        </is>
      </c>
    </row>
    <row r="17">
      <c r="A17" s="4" t="inlineStr">
        <is>
          <t>원료</t>
        </is>
      </c>
      <c r="B17" s="4" t="inlineStr">
        <is>
          <t>rm_mx_shale</t>
        </is>
      </c>
      <c r="C17" s="4" t="inlineStr">
        <is>
          <t>rm_mx_shale</t>
        </is>
      </c>
      <c r="D17" s="4" t="inlineStr">
        <is>
          <t>-</t>
        </is>
      </c>
      <c r="E17" s="4" t="inlineStr">
        <is>
          <t>2시간</t>
        </is>
      </c>
      <c r="F17" s="4" t="inlineStr">
        <is>
          <t>선택</t>
        </is>
      </c>
    </row>
    <row r="18">
      <c r="A18" s="4" t="inlineStr">
        <is>
          <t>원료</t>
        </is>
      </c>
      <c r="B18" s="4" t="inlineStr">
        <is>
          <t>rm_mx_silica</t>
        </is>
      </c>
      <c r="C18" s="4" t="inlineStr">
        <is>
          <t>rm_mx_silica</t>
        </is>
      </c>
      <c r="D18" s="4" t="inlineStr">
        <is>
          <t>-</t>
        </is>
      </c>
      <c r="E18" s="4" t="inlineStr">
        <is>
          <t>2시간</t>
        </is>
      </c>
      <c r="F18" s="4" t="inlineStr">
        <is>
          <t>선택</t>
        </is>
      </c>
    </row>
    <row r="19">
      <c r="A19" s="4" t="inlineStr">
        <is>
          <t>원료</t>
        </is>
      </c>
      <c r="B19" s="4" t="inlineStr">
        <is>
          <t>rm_mx_silica2</t>
        </is>
      </c>
      <c r="C19" s="4" t="inlineStr">
        <is>
          <t>rm_mx_silica2</t>
        </is>
      </c>
      <c r="D19" s="4" t="inlineStr">
        <is>
          <t>-</t>
        </is>
      </c>
      <c r="E19" s="4" t="inlineStr">
        <is>
          <t>2시간</t>
        </is>
      </c>
      <c r="F19" s="4" t="inlineStr">
        <is>
          <t>선택</t>
        </is>
      </c>
    </row>
    <row r="20">
      <c r="A20" s="4" t="inlineStr">
        <is>
          <t>원료</t>
        </is>
      </c>
      <c r="B20" s="4" t="inlineStr">
        <is>
          <t>rm_mx_ash</t>
        </is>
      </c>
      <c r="C20" s="4" t="inlineStr">
        <is>
          <t>rm_mx_ash</t>
        </is>
      </c>
      <c r="D20" s="4" t="inlineStr">
        <is>
          <t>-</t>
        </is>
      </c>
      <c r="E20" s="4" t="inlineStr">
        <is>
          <t>2시간</t>
        </is>
      </c>
      <c r="F20" s="4" t="inlineStr">
        <is>
          <t>선택</t>
        </is>
      </c>
    </row>
    <row r="21">
      <c r="A21" s="4" t="inlineStr">
        <is>
          <t>원료</t>
        </is>
      </c>
      <c r="B21" s="4" t="inlineStr">
        <is>
          <t>rm_mx_sago</t>
        </is>
      </c>
      <c r="C21" s="4" t="inlineStr">
        <is>
          <t>rm_mx_sago</t>
        </is>
      </c>
      <c r="D21" s="4" t="inlineStr">
        <is>
          <t>-</t>
        </is>
      </c>
      <c r="E21" s="4" t="inlineStr">
        <is>
          <t>2시간</t>
        </is>
      </c>
      <c r="F21" s="4" t="inlineStr">
        <is>
          <t>선택</t>
        </is>
      </c>
    </row>
    <row r="22">
      <c r="A22" s="4" t="inlineStr">
        <is>
          <t>원료</t>
        </is>
      </c>
      <c r="B22" s="4" t="inlineStr">
        <is>
          <t>rm_mx_iron</t>
        </is>
      </c>
      <c r="C22" s="4" t="inlineStr">
        <is>
          <t>rm_mx_iron</t>
        </is>
      </c>
      <c r="D22" s="4" t="inlineStr">
        <is>
          <t>-</t>
        </is>
      </c>
      <c r="E22" s="4" t="inlineStr">
        <is>
          <t>2시간</t>
        </is>
      </c>
      <c r="F22" s="4" t="inlineStr">
        <is>
          <t>선택</t>
        </is>
      </c>
    </row>
    <row r="23">
      <c r="A23" s="4" t="inlineStr">
        <is>
          <t>원료</t>
        </is>
      </c>
      <c r="B23" s="4" t="inlineStr">
        <is>
          <t>rm_mx_sand</t>
        </is>
      </c>
      <c r="C23" s="4" t="inlineStr">
        <is>
          <t>rm_mx_sand</t>
        </is>
      </c>
      <c r="D23" s="4" t="inlineStr">
        <is>
          <t>-</t>
        </is>
      </c>
      <c r="E23" s="4" t="inlineStr">
        <is>
          <t>2시간</t>
        </is>
      </c>
      <c r="F23" s="4" t="inlineStr">
        <is>
          <t>선택</t>
        </is>
      </c>
    </row>
    <row r="24">
      <c r="A24" s="4" t="inlineStr">
        <is>
          <t>원료</t>
        </is>
      </c>
      <c r="B24" s="4" t="inlineStr">
        <is>
          <t>rm_mx_total</t>
        </is>
      </c>
      <c r="C24" s="4" t="inlineStr">
        <is>
          <t>rm_mx_total</t>
        </is>
      </c>
      <c r="D24" s="4" t="inlineStr">
        <is>
          <t>-</t>
        </is>
      </c>
      <c r="E24" s="4" t="inlineStr">
        <is>
          <t>2시간</t>
        </is>
      </c>
      <c r="F24" s="4" t="inlineStr">
        <is>
          <t>선택</t>
        </is>
      </c>
    </row>
    <row r="25">
      <c r="A25" s="4" t="inlineStr">
        <is>
          <t>킬른</t>
        </is>
      </c>
      <c r="B25" s="4" t="inlineStr">
        <is>
          <t>timestamp</t>
        </is>
      </c>
      <c r="C25" s="4" t="inlineStr">
        <is>
          <t>측정일시(예: 2026-10-07 14:00)</t>
        </is>
      </c>
      <c r="D25" s="4" t="inlineStr">
        <is>
          <t>-</t>
        </is>
      </c>
      <c r="E25" s="4" t="inlineStr">
        <is>
          <t>1시간</t>
        </is>
      </c>
      <c r="F25" s="4" t="inlineStr">
        <is>
          <t>필수</t>
        </is>
      </c>
    </row>
    <row r="26">
      <c r="A26" s="4" t="inlineStr">
        <is>
          <t>킬른</t>
        </is>
      </c>
      <c r="B26" s="4" t="inlineStr">
        <is>
          <t>line</t>
        </is>
      </c>
      <c r="C26" s="4" t="inlineStr">
        <is>
          <t>line</t>
        </is>
      </c>
      <c r="D26" s="4" t="inlineStr">
        <is>
          <t>-</t>
        </is>
      </c>
      <c r="E26" s="4" t="inlineStr">
        <is>
          <t>1시간</t>
        </is>
      </c>
      <c r="F26" s="4" t="inlineStr">
        <is>
          <t>선택</t>
        </is>
      </c>
    </row>
    <row r="27">
      <c r="A27" s="4" t="inlineStr">
        <is>
          <t>킬른</t>
        </is>
      </c>
      <c r="B27" s="4" t="inlineStr">
        <is>
          <t>kiln_feed</t>
        </is>
      </c>
      <c r="C27" s="4" t="inlineStr">
        <is>
          <t>원료 투입량</t>
        </is>
      </c>
      <c r="D27" s="4" t="inlineStr">
        <is>
          <t>t/h</t>
        </is>
      </c>
      <c r="E27" s="4" t="inlineStr">
        <is>
          <t>1시간</t>
        </is>
      </c>
      <c r="F27" s="4" t="inlineStr">
        <is>
          <t>선택</t>
        </is>
      </c>
    </row>
    <row r="28">
      <c r="A28" s="4" t="inlineStr">
        <is>
          <t>킬른</t>
        </is>
      </c>
      <c r="B28" s="4" t="inlineStr">
        <is>
          <t>coal_rate</t>
        </is>
      </c>
      <c r="C28" s="4" t="inlineStr">
        <is>
          <t>석탄 투입량</t>
        </is>
      </c>
      <c r="D28" s="4" t="inlineStr">
        <is>
          <t>t/h</t>
        </is>
      </c>
      <c r="E28" s="4" t="inlineStr">
        <is>
          <t>1시간</t>
        </is>
      </c>
      <c r="F28" s="4" t="inlineStr">
        <is>
          <t>선택</t>
        </is>
      </c>
    </row>
    <row r="29">
      <c r="A29" s="4" t="inlineStr">
        <is>
          <t>킬른</t>
        </is>
      </c>
      <c r="B29" s="4" t="inlineStr">
        <is>
          <t>kiln_bzt</t>
        </is>
      </c>
      <c r="C29" s="4" t="inlineStr">
        <is>
          <t>소성대 온도(파이로미터)</t>
        </is>
      </c>
      <c r="D29" s="4" t="inlineStr">
        <is>
          <t>℃</t>
        </is>
      </c>
      <c r="E29" s="4" t="inlineStr">
        <is>
          <t>1시간</t>
        </is>
      </c>
      <c r="F29" s="4" t="inlineStr">
        <is>
          <t>선택</t>
        </is>
      </c>
    </row>
    <row r="30">
      <c r="A30" s="4" t="inlineStr">
        <is>
          <t>킬른</t>
        </is>
      </c>
      <c r="B30" s="4" t="inlineStr">
        <is>
          <t>kiln_o2</t>
        </is>
      </c>
      <c r="C30" s="4" t="inlineStr">
        <is>
          <t>킬른 입구 O₂</t>
        </is>
      </c>
      <c r="D30" s="4" t="inlineStr">
        <is>
          <t>%</t>
        </is>
      </c>
      <c r="E30" s="4" t="inlineStr">
        <is>
          <t>1시간</t>
        </is>
      </c>
      <c r="F30" s="4" t="inlineStr">
        <is>
          <t>선택</t>
        </is>
      </c>
    </row>
    <row r="31">
      <c r="A31" s="4" t="inlineStr">
        <is>
          <t>킬른</t>
        </is>
      </c>
      <c r="B31" s="4" t="inlineStr">
        <is>
          <t>kiln_co</t>
        </is>
      </c>
      <c r="C31" s="4" t="inlineStr">
        <is>
          <t>킬른 입구 CO</t>
        </is>
      </c>
      <c r="D31" s="4" t="inlineStr">
        <is>
          <t>%</t>
        </is>
      </c>
      <c r="E31" s="4" t="inlineStr">
        <is>
          <t>1시간</t>
        </is>
      </c>
      <c r="F31" s="4" t="inlineStr">
        <is>
          <t>선택</t>
        </is>
      </c>
    </row>
    <row r="32">
      <c r="A32" s="4" t="inlineStr">
        <is>
          <t>킬른</t>
        </is>
      </c>
      <c r="B32" s="4" t="inlineStr">
        <is>
          <t>kiln_torque</t>
        </is>
      </c>
      <c r="C32" s="4" t="inlineStr">
        <is>
          <t>킬른 주모터 부하</t>
        </is>
      </c>
      <c r="D32" s="4" t="inlineStr">
        <is>
          <t>%</t>
        </is>
      </c>
      <c r="E32" s="4" t="inlineStr">
        <is>
          <t>1시간</t>
        </is>
      </c>
      <c r="F32" s="4" t="inlineStr">
        <is>
          <t>선택</t>
        </is>
      </c>
    </row>
    <row r="33">
      <c r="A33" s="4" t="inlineStr">
        <is>
          <t>킬른</t>
        </is>
      </c>
      <c r="B33" s="4" t="inlineStr">
        <is>
          <t>kiln_calc_temp</t>
        </is>
      </c>
      <c r="C33" s="4" t="inlineStr">
        <is>
          <t>하소로 출구 온도</t>
        </is>
      </c>
      <c r="D33" s="4" t="inlineStr">
        <is>
          <t>℃</t>
        </is>
      </c>
      <c r="E33" s="4" t="inlineStr">
        <is>
          <t>1시간</t>
        </is>
      </c>
      <c r="F33" s="4" t="inlineStr">
        <is>
          <t>선택</t>
        </is>
      </c>
    </row>
    <row r="34">
      <c r="A34" s="4" t="inlineStr">
        <is>
          <t>킬른</t>
        </is>
      </c>
      <c r="B34" s="4" t="inlineStr">
        <is>
          <t>kiln_sec_air</t>
        </is>
      </c>
      <c r="C34" s="4" t="inlineStr">
        <is>
          <t>2차 공기 온도</t>
        </is>
      </c>
      <c r="D34" s="4" t="inlineStr">
        <is>
          <t>℃</t>
        </is>
      </c>
      <c r="E34" s="4" t="inlineStr">
        <is>
          <t>1시간</t>
        </is>
      </c>
      <c r="F34" s="4" t="inlineStr">
        <is>
          <t>선택</t>
        </is>
      </c>
    </row>
    <row r="35">
      <c r="A35" s="4" t="inlineStr">
        <is>
          <t>클링커</t>
        </is>
      </c>
      <c r="B35" s="4" t="inlineStr">
        <is>
          <t>timestamp</t>
        </is>
      </c>
      <c r="C35" s="4" t="inlineStr">
        <is>
          <t>측정일시(예: 2026-10-07 14:00)</t>
        </is>
      </c>
      <c r="D35" s="4" t="inlineStr">
        <is>
          <t>-</t>
        </is>
      </c>
      <c r="E35" s="4" t="inlineStr">
        <is>
          <t>2시간</t>
        </is>
      </c>
      <c r="F35" s="4" t="inlineStr">
        <is>
          <t>필수</t>
        </is>
      </c>
    </row>
    <row r="36">
      <c r="A36" s="4" t="inlineStr">
        <is>
          <t>클링커</t>
        </is>
      </c>
      <c r="B36" s="4" t="inlineStr">
        <is>
          <t>line</t>
        </is>
      </c>
      <c r="C36" s="4" t="inlineStr">
        <is>
          <t>line</t>
        </is>
      </c>
      <c r="D36" s="4" t="inlineStr">
        <is>
          <t>-</t>
        </is>
      </c>
      <c r="E36" s="4" t="inlineStr">
        <is>
          <t>2시간</t>
        </is>
      </c>
      <c r="F36" s="4" t="inlineStr">
        <is>
          <t>선택</t>
        </is>
      </c>
    </row>
    <row r="37">
      <c r="A37" s="4" t="inlineStr">
        <is>
          <t>클링커</t>
        </is>
      </c>
      <c r="B37" s="4" t="inlineStr">
        <is>
          <t>grade</t>
        </is>
      </c>
      <c r="C37" s="4" t="inlineStr">
        <is>
          <t>grade</t>
        </is>
      </c>
      <c r="D37" s="4" t="inlineStr">
        <is>
          <t>-</t>
        </is>
      </c>
      <c r="E37" s="4" t="inlineStr">
        <is>
          <t>2시간</t>
        </is>
      </c>
      <c r="F37" s="4" t="inlineStr">
        <is>
          <t>선택</t>
        </is>
      </c>
    </row>
    <row r="38">
      <c r="A38" s="4" t="inlineStr">
        <is>
          <t>클링커</t>
        </is>
      </c>
      <c r="B38" s="4" t="inlineStr">
        <is>
          <t>silo</t>
        </is>
      </c>
      <c r="C38" s="4" t="inlineStr">
        <is>
          <t>silo</t>
        </is>
      </c>
      <c r="D38" s="4" t="inlineStr">
        <is>
          <t>-</t>
        </is>
      </c>
      <c r="E38" s="4" t="inlineStr">
        <is>
          <t>2시간</t>
        </is>
      </c>
      <c r="F38" s="4" t="inlineStr">
        <is>
          <t>선택</t>
        </is>
      </c>
    </row>
    <row r="39">
      <c r="A39" s="4" t="inlineStr">
        <is>
          <t>클링커</t>
        </is>
      </c>
      <c r="B39" s="4" t="inlineStr">
        <is>
          <t>clk_cao</t>
        </is>
      </c>
      <c r="C39" s="4" t="inlineStr">
        <is>
          <t>클링커 CaO</t>
        </is>
      </c>
      <c r="D39" s="4" t="inlineStr">
        <is>
          <t>%</t>
        </is>
      </c>
      <c r="E39" s="4" t="inlineStr">
        <is>
          <t>2시간</t>
        </is>
      </c>
      <c r="F39" s="4" t="inlineStr">
        <is>
          <t>선택</t>
        </is>
      </c>
    </row>
    <row r="40">
      <c r="A40" s="4" t="inlineStr">
        <is>
          <t>클링커</t>
        </is>
      </c>
      <c r="B40" s="4" t="inlineStr">
        <is>
          <t>clk_sio2</t>
        </is>
      </c>
      <c r="C40" s="4" t="inlineStr">
        <is>
          <t>클링커 SiO₂</t>
        </is>
      </c>
      <c r="D40" s="4" t="inlineStr">
        <is>
          <t>%</t>
        </is>
      </c>
      <c r="E40" s="4" t="inlineStr">
        <is>
          <t>2시간</t>
        </is>
      </c>
      <c r="F40" s="4" t="inlineStr">
        <is>
          <t>선택</t>
        </is>
      </c>
    </row>
    <row r="41">
      <c r="A41" s="4" t="inlineStr">
        <is>
          <t>클링커</t>
        </is>
      </c>
      <c r="B41" s="4" t="inlineStr">
        <is>
          <t>clk_al2o3</t>
        </is>
      </c>
      <c r="C41" s="4" t="inlineStr">
        <is>
          <t>클링커 Al₂O₃</t>
        </is>
      </c>
      <c r="D41" s="4" t="inlineStr">
        <is>
          <t>%</t>
        </is>
      </c>
      <c r="E41" s="4" t="inlineStr">
        <is>
          <t>2시간</t>
        </is>
      </c>
      <c r="F41" s="4" t="inlineStr">
        <is>
          <t>선택</t>
        </is>
      </c>
    </row>
    <row r="42">
      <c r="A42" s="4" t="inlineStr">
        <is>
          <t>클링커</t>
        </is>
      </c>
      <c r="B42" s="4" t="inlineStr">
        <is>
          <t>clk_fe2o3</t>
        </is>
      </c>
      <c r="C42" s="4" t="inlineStr">
        <is>
          <t>클링커 Fe₂O₃</t>
        </is>
      </c>
      <c r="D42" s="4" t="inlineStr">
        <is>
          <t>%</t>
        </is>
      </c>
      <c r="E42" s="4" t="inlineStr">
        <is>
          <t>2시간</t>
        </is>
      </c>
      <c r="F42" s="4" t="inlineStr">
        <is>
          <t>선택</t>
        </is>
      </c>
    </row>
    <row r="43">
      <c r="A43" s="4" t="inlineStr">
        <is>
          <t>클링커</t>
        </is>
      </c>
      <c r="B43" s="4" t="inlineStr">
        <is>
          <t>clk_mgo</t>
        </is>
      </c>
      <c r="C43" s="4" t="inlineStr">
        <is>
          <t>클링커 MgO</t>
        </is>
      </c>
      <c r="D43" s="4" t="inlineStr">
        <is>
          <t>%</t>
        </is>
      </c>
      <c r="E43" s="4" t="inlineStr">
        <is>
          <t>2시간</t>
        </is>
      </c>
      <c r="F43" s="4" t="inlineStr">
        <is>
          <t>선택</t>
        </is>
      </c>
    </row>
    <row r="44">
      <c r="A44" s="4" t="inlineStr">
        <is>
          <t>클링커</t>
        </is>
      </c>
      <c r="B44" s="4" t="inlineStr">
        <is>
          <t>clk_so3</t>
        </is>
      </c>
      <c r="C44" s="4" t="inlineStr">
        <is>
          <t>클링커 SO₃</t>
        </is>
      </c>
      <c r="D44" s="4" t="inlineStr">
        <is>
          <t>%</t>
        </is>
      </c>
      <c r="E44" s="4" t="inlineStr">
        <is>
          <t>2시간</t>
        </is>
      </c>
      <c r="F44" s="4" t="inlineStr">
        <is>
          <t>선택</t>
        </is>
      </c>
    </row>
    <row r="45">
      <c r="A45" s="4" t="inlineStr">
        <is>
          <t>클링커</t>
        </is>
      </c>
      <c r="B45" s="4" t="inlineStr">
        <is>
          <t>clk_k2o</t>
        </is>
      </c>
      <c r="C45" s="4" t="inlineStr">
        <is>
          <t>클링커 K₂O</t>
        </is>
      </c>
      <c r="D45" s="4" t="inlineStr">
        <is>
          <t>%</t>
        </is>
      </c>
      <c r="E45" s="4" t="inlineStr">
        <is>
          <t>2시간</t>
        </is>
      </c>
      <c r="F45" s="4" t="inlineStr">
        <is>
          <t>선택</t>
        </is>
      </c>
    </row>
    <row r="46">
      <c r="A46" s="4" t="inlineStr">
        <is>
          <t>클링커</t>
        </is>
      </c>
      <c r="B46" s="4" t="inlineStr">
        <is>
          <t>clk_na2o</t>
        </is>
      </c>
      <c r="C46" s="4" t="inlineStr">
        <is>
          <t>클링커 Na₂O</t>
        </is>
      </c>
      <c r="D46" s="4" t="inlineStr">
        <is>
          <t>%</t>
        </is>
      </c>
      <c r="E46" s="4" t="inlineStr">
        <is>
          <t>2시간</t>
        </is>
      </c>
      <c r="F46" s="4" t="inlineStr">
        <is>
          <t>선택</t>
        </is>
      </c>
    </row>
    <row r="47">
      <c r="A47" s="4" t="inlineStr">
        <is>
          <t>클링커</t>
        </is>
      </c>
      <c r="B47" s="4" t="inlineStr">
        <is>
          <t>clk_fcao</t>
        </is>
      </c>
      <c r="C47" s="4" t="inlineStr">
        <is>
          <t>클링커 자유석회(f-CaO)</t>
        </is>
      </c>
      <c r="D47" s="4" t="inlineStr">
        <is>
          <t>%</t>
        </is>
      </c>
      <c r="E47" s="4" t="inlineStr">
        <is>
          <t>2시간</t>
        </is>
      </c>
      <c r="F47" s="4" t="inlineStr">
        <is>
          <t>선택</t>
        </is>
      </c>
    </row>
    <row r="48">
      <c r="A48" s="4" t="inlineStr">
        <is>
          <t>클링커</t>
        </is>
      </c>
      <c r="B48" s="4" t="inlineStr">
        <is>
          <t>clk_lw</t>
        </is>
      </c>
      <c r="C48" s="4" t="inlineStr">
        <is>
          <t>클링커 리터중량</t>
        </is>
      </c>
      <c r="D48" s="4" t="inlineStr">
        <is>
          <t>g/L</t>
        </is>
      </c>
      <c r="E48" s="4" t="inlineStr">
        <is>
          <t>2시간</t>
        </is>
      </c>
      <c r="F48" s="4" t="inlineStr">
        <is>
          <t>선택</t>
        </is>
      </c>
    </row>
    <row r="49">
      <c r="A49" s="4" t="inlineStr">
        <is>
          <t>클링커</t>
        </is>
      </c>
      <c r="B49" s="4" t="inlineStr">
        <is>
          <t>clk_cl</t>
        </is>
      </c>
      <c r="C49" s="4" t="inlineStr">
        <is>
          <t>클링커 Cl</t>
        </is>
      </c>
      <c r="D49" s="4" t="inlineStr">
        <is>
          <t>ppm</t>
        </is>
      </c>
      <c r="E49" s="4" t="inlineStr">
        <is>
          <t>2시간</t>
        </is>
      </c>
      <c r="F49" s="4" t="inlineStr">
        <is>
          <t>선택</t>
        </is>
      </c>
    </row>
    <row r="50">
      <c r="A50" s="4" t="inlineStr">
        <is>
          <t>클링커</t>
        </is>
      </c>
      <c r="B50" s="4" t="inlineStr">
        <is>
          <t>clk_f</t>
        </is>
      </c>
      <c r="C50" s="4" t="inlineStr">
        <is>
          <t>클링커 F</t>
        </is>
      </c>
      <c r="D50" s="4" t="inlineStr">
        <is>
          <t>ppm</t>
        </is>
      </c>
      <c r="E50" s="4" t="inlineStr">
        <is>
          <t>2시간</t>
        </is>
      </c>
      <c r="F50" s="4" t="inlineStr">
        <is>
          <t>선택</t>
        </is>
      </c>
    </row>
    <row r="51">
      <c r="A51" s="4" t="inlineStr">
        <is>
          <t>클링커</t>
        </is>
      </c>
      <c r="B51" s="4" t="inlineStr">
        <is>
          <t>clk_temp</t>
        </is>
      </c>
      <c r="C51" s="4" t="inlineStr">
        <is>
          <t>클링커 온도</t>
        </is>
      </c>
      <c r="D51" s="4" t="inlineStr">
        <is>
          <t>℃</t>
        </is>
      </c>
      <c r="E51" s="4" t="inlineStr">
        <is>
          <t>2시간</t>
        </is>
      </c>
      <c r="F51" s="4" t="inlineStr">
        <is>
          <t>선택</t>
        </is>
      </c>
    </row>
    <row r="52">
      <c r="A52" s="4" t="inlineStr">
        <is>
          <t>시멘트</t>
        </is>
      </c>
      <c r="B52" s="4" t="inlineStr">
        <is>
          <t>timestamp</t>
        </is>
      </c>
      <c r="C52" s="4" t="inlineStr">
        <is>
          <t>측정일시(예: 2026-10-07 14:00)</t>
        </is>
      </c>
      <c r="D52" s="4" t="inlineStr">
        <is>
          <t>-</t>
        </is>
      </c>
      <c r="E52" s="4" t="inlineStr">
        <is>
          <t>2시간</t>
        </is>
      </c>
      <c r="F52" s="4" t="inlineStr">
        <is>
          <t>필수</t>
        </is>
      </c>
    </row>
    <row r="53">
      <c r="A53" s="4" t="inlineStr">
        <is>
          <t>시멘트</t>
        </is>
      </c>
      <c r="B53" s="4" t="inlineStr">
        <is>
          <t>line</t>
        </is>
      </c>
      <c r="C53" s="4" t="inlineStr">
        <is>
          <t>line</t>
        </is>
      </c>
      <c r="D53" s="4" t="inlineStr">
        <is>
          <t>-</t>
        </is>
      </c>
      <c r="E53" s="4" t="inlineStr">
        <is>
          <t>2시간</t>
        </is>
      </c>
      <c r="F53" s="4" t="inlineStr">
        <is>
          <t>선택</t>
        </is>
      </c>
    </row>
    <row r="54">
      <c r="A54" s="4" t="inlineStr">
        <is>
          <t>시멘트</t>
        </is>
      </c>
      <c r="B54" s="4" t="inlineStr">
        <is>
          <t>product</t>
        </is>
      </c>
      <c r="C54" s="4" t="inlineStr">
        <is>
          <t>품종(1종/3종)</t>
        </is>
      </c>
      <c r="D54" s="4" t="inlineStr">
        <is>
          <t>-</t>
        </is>
      </c>
      <c r="E54" s="4" t="inlineStr">
        <is>
          <t>2시간</t>
        </is>
      </c>
      <c r="F54" s="4" t="inlineStr">
        <is>
          <t>필수</t>
        </is>
      </c>
    </row>
    <row r="55">
      <c r="A55" s="4" t="inlineStr">
        <is>
          <t>시멘트</t>
        </is>
      </c>
      <c r="B55" s="4" t="inlineStr">
        <is>
          <t>silo</t>
        </is>
      </c>
      <c r="C55" s="4" t="inlineStr">
        <is>
          <t>silo</t>
        </is>
      </c>
      <c r="D55" s="4" t="inlineStr">
        <is>
          <t>-</t>
        </is>
      </c>
      <c r="E55" s="4" t="inlineStr">
        <is>
          <t>2시간</t>
        </is>
      </c>
      <c r="F55" s="4" t="inlineStr">
        <is>
          <t>선택</t>
        </is>
      </c>
    </row>
    <row r="56">
      <c r="A56" s="4" t="inlineStr">
        <is>
          <t>시멘트</t>
        </is>
      </c>
      <c r="B56" s="4" t="inlineStr">
        <is>
          <t>cem_blaine</t>
        </is>
      </c>
      <c r="C56" s="4" t="inlineStr">
        <is>
          <t>시멘트 분말도(Blaine)</t>
        </is>
      </c>
      <c r="D56" s="4" t="inlineStr">
        <is>
          <t>cm²/g</t>
        </is>
      </c>
      <c r="E56" s="4" t="inlineStr">
        <is>
          <t>2시간</t>
        </is>
      </c>
      <c r="F56" s="4" t="inlineStr">
        <is>
          <t>선택</t>
        </is>
      </c>
    </row>
    <row r="57">
      <c r="A57" s="4" t="inlineStr">
        <is>
          <t>시멘트</t>
        </is>
      </c>
      <c r="B57" s="4" t="inlineStr">
        <is>
          <t>cem_r45</t>
        </is>
      </c>
      <c r="C57" s="4" t="inlineStr">
        <is>
          <t>시멘트 45μm 잔사</t>
        </is>
      </c>
      <c r="D57" s="4" t="inlineStr">
        <is>
          <t>%</t>
        </is>
      </c>
      <c r="E57" s="4" t="inlineStr">
        <is>
          <t>2시간</t>
        </is>
      </c>
      <c r="F57" s="4" t="inlineStr">
        <is>
          <t>선택</t>
        </is>
      </c>
    </row>
    <row r="58">
      <c r="A58" s="4" t="inlineStr">
        <is>
          <t>시멘트</t>
        </is>
      </c>
      <c r="B58" s="4" t="inlineStr">
        <is>
          <t>cem_so3</t>
        </is>
      </c>
      <c r="C58" s="4" t="inlineStr">
        <is>
          <t>시멘트 SO₃</t>
        </is>
      </c>
      <c r="D58" s="4" t="inlineStr">
        <is>
          <t>%</t>
        </is>
      </c>
      <c r="E58" s="4" t="inlineStr">
        <is>
          <t>2시간</t>
        </is>
      </c>
      <c r="F58" s="4" t="inlineStr">
        <is>
          <t>선택</t>
        </is>
      </c>
    </row>
    <row r="59">
      <c r="A59" s="4" t="inlineStr">
        <is>
          <t>시멘트</t>
        </is>
      </c>
      <c r="B59" s="4" t="inlineStr">
        <is>
          <t>cem_loi</t>
        </is>
      </c>
      <c r="C59" s="4" t="inlineStr">
        <is>
          <t>시멘트 강열감량</t>
        </is>
      </c>
      <c r="D59" s="4" t="inlineStr">
        <is>
          <t>%</t>
        </is>
      </c>
      <c r="E59" s="4" t="inlineStr">
        <is>
          <t>2시간</t>
        </is>
      </c>
      <c r="F59" s="4" t="inlineStr">
        <is>
          <t>선택</t>
        </is>
      </c>
    </row>
    <row r="60">
      <c r="A60" s="4" t="inlineStr">
        <is>
          <t>시멘트</t>
        </is>
      </c>
      <c r="B60" s="4" t="inlineStr">
        <is>
          <t>cem_mgo</t>
        </is>
      </c>
      <c r="C60" s="4" t="inlineStr">
        <is>
          <t>시멘트 MgO</t>
        </is>
      </c>
      <c r="D60" s="4" t="inlineStr">
        <is>
          <t>%</t>
        </is>
      </c>
      <c r="E60" s="4" t="inlineStr">
        <is>
          <t>2시간</t>
        </is>
      </c>
      <c r="F60" s="4" t="inlineStr">
        <is>
          <t>선택</t>
        </is>
      </c>
    </row>
    <row r="61">
      <c r="A61" s="4" t="inlineStr">
        <is>
          <t>시멘트</t>
        </is>
      </c>
      <c r="B61" s="4" t="inlineStr">
        <is>
          <t>cem_ls</t>
        </is>
      </c>
      <c r="C61" s="4" t="inlineStr">
        <is>
          <t>석회석 혼합률</t>
        </is>
      </c>
      <c r="D61" s="4" t="inlineStr">
        <is>
          <t>%</t>
        </is>
      </c>
      <c r="E61" s="4" t="inlineStr">
        <is>
          <t>2시간</t>
        </is>
      </c>
      <c r="F61" s="4" t="inlineStr">
        <is>
          <t>선택</t>
        </is>
      </c>
    </row>
    <row r="62">
      <c r="A62" s="4" t="inlineStr">
        <is>
          <t>시멘트</t>
        </is>
      </c>
      <c r="B62" s="4" t="inlineStr">
        <is>
          <t>cem_mill_feed</t>
        </is>
      </c>
      <c r="C62" s="4" t="inlineStr">
        <is>
          <t>시멘트밀 투입량</t>
        </is>
      </c>
      <c r="D62" s="4" t="inlineStr">
        <is>
          <t>t/h</t>
        </is>
      </c>
      <c r="E62" s="4" t="inlineStr">
        <is>
          <t>2시간</t>
        </is>
      </c>
      <c r="F62" s="4" t="inlineStr">
        <is>
          <t>선택</t>
        </is>
      </c>
    </row>
    <row r="63">
      <c r="A63" s="4" t="inlineStr">
        <is>
          <t>시멘트</t>
        </is>
      </c>
      <c r="B63" s="4" t="inlineStr">
        <is>
          <t>cem_mill_temp</t>
        </is>
      </c>
      <c r="C63" s="4" t="inlineStr">
        <is>
          <t>시멘트밀 출구 온도</t>
        </is>
      </c>
      <c r="D63" s="4" t="inlineStr">
        <is>
          <t>℃</t>
        </is>
      </c>
      <c r="E63" s="4" t="inlineStr">
        <is>
          <t>2시간</t>
        </is>
      </c>
      <c r="F63" s="4" t="inlineStr">
        <is>
          <t>선택</t>
        </is>
      </c>
    </row>
    <row r="64">
      <c r="A64" s="4" t="inlineStr">
        <is>
          <t>시멘트</t>
        </is>
      </c>
      <c r="B64" s="4" t="inlineStr">
        <is>
          <t>cem_cao</t>
        </is>
      </c>
      <c r="C64" s="4" t="inlineStr">
        <is>
          <t>cem_cao</t>
        </is>
      </c>
      <c r="D64" s="4" t="inlineStr">
        <is>
          <t>-</t>
        </is>
      </c>
      <c r="E64" s="4" t="inlineStr">
        <is>
          <t>2시간</t>
        </is>
      </c>
      <c r="F64" s="4" t="inlineStr">
        <is>
          <t>선택</t>
        </is>
      </c>
    </row>
    <row r="65">
      <c r="A65" s="4" t="inlineStr">
        <is>
          <t>시멘트</t>
        </is>
      </c>
      <c r="B65" s="4" t="inlineStr">
        <is>
          <t>cem_sio2</t>
        </is>
      </c>
      <c r="C65" s="4" t="inlineStr">
        <is>
          <t>cem_sio2</t>
        </is>
      </c>
      <c r="D65" s="4" t="inlineStr">
        <is>
          <t>-</t>
        </is>
      </c>
      <c r="E65" s="4" t="inlineStr">
        <is>
          <t>2시간</t>
        </is>
      </c>
      <c r="F65" s="4" t="inlineStr">
        <is>
          <t>선택</t>
        </is>
      </c>
    </row>
    <row r="66">
      <c r="A66" s="4" t="inlineStr">
        <is>
          <t>시멘트</t>
        </is>
      </c>
      <c r="B66" s="4" t="inlineStr">
        <is>
          <t>cem_al2o3</t>
        </is>
      </c>
      <c r="C66" s="4" t="inlineStr">
        <is>
          <t>cem_al2o3</t>
        </is>
      </c>
      <c r="D66" s="4" t="inlineStr">
        <is>
          <t>-</t>
        </is>
      </c>
      <c r="E66" s="4" t="inlineStr">
        <is>
          <t>2시간</t>
        </is>
      </c>
      <c r="F66" s="4" t="inlineStr">
        <is>
          <t>선택</t>
        </is>
      </c>
    </row>
    <row r="67">
      <c r="A67" s="4" t="inlineStr">
        <is>
          <t>시멘트</t>
        </is>
      </c>
      <c r="B67" s="4" t="inlineStr">
        <is>
          <t>cem_fe2o3</t>
        </is>
      </c>
      <c r="C67" s="4" t="inlineStr">
        <is>
          <t>cem_fe2o3</t>
        </is>
      </c>
      <c r="D67" s="4" t="inlineStr">
        <is>
          <t>-</t>
        </is>
      </c>
      <c r="E67" s="4" t="inlineStr">
        <is>
          <t>2시간</t>
        </is>
      </c>
      <c r="F67" s="4" t="inlineStr">
        <is>
          <t>선택</t>
        </is>
      </c>
    </row>
    <row r="68">
      <c r="A68" s="4" t="inlineStr">
        <is>
          <t>시멘트</t>
        </is>
      </c>
      <c r="B68" s="4" t="inlineStr">
        <is>
          <t>cem_na2o</t>
        </is>
      </c>
      <c r="C68" s="4" t="inlineStr">
        <is>
          <t>cem_na2o</t>
        </is>
      </c>
      <c r="D68" s="4" t="inlineStr">
        <is>
          <t>-</t>
        </is>
      </c>
      <c r="E68" s="4" t="inlineStr">
        <is>
          <t>2시간</t>
        </is>
      </c>
      <c r="F68" s="4" t="inlineStr">
        <is>
          <t>선택</t>
        </is>
      </c>
    </row>
    <row r="69">
      <c r="A69" s="4" t="inlineStr">
        <is>
          <t>시멘트</t>
        </is>
      </c>
      <c r="B69" s="4" t="inlineStr">
        <is>
          <t>cem_k2o</t>
        </is>
      </c>
      <c r="C69" s="4" t="inlineStr">
        <is>
          <t>cem_k2o</t>
        </is>
      </c>
      <c r="D69" s="4" t="inlineStr">
        <is>
          <t>-</t>
        </is>
      </c>
      <c r="E69" s="4" t="inlineStr">
        <is>
          <t>2시간</t>
        </is>
      </c>
      <c r="F69" s="4" t="inlineStr">
        <is>
          <t>선택</t>
        </is>
      </c>
    </row>
    <row r="70">
      <c r="A70" s="4" t="inlineStr">
        <is>
          <t>시멘트</t>
        </is>
      </c>
      <c r="B70" s="4" t="inlineStr">
        <is>
          <t>cem_cl</t>
        </is>
      </c>
      <c r="C70" s="4" t="inlineStr">
        <is>
          <t>cem_cl</t>
        </is>
      </c>
      <c r="D70" s="4" t="inlineStr">
        <is>
          <t>-</t>
        </is>
      </c>
      <c r="E70" s="4" t="inlineStr">
        <is>
          <t>2시간</t>
        </is>
      </c>
      <c r="F70" s="4" t="inlineStr">
        <is>
          <t>선택</t>
        </is>
      </c>
    </row>
    <row r="71">
      <c r="A71" s="4" t="inlineStr">
        <is>
          <t>시멘트</t>
        </is>
      </c>
      <c r="B71" s="4" t="inlineStr">
        <is>
          <t>cem_fcao</t>
        </is>
      </c>
      <c r="C71" s="4" t="inlineStr">
        <is>
          <t>cem_fcao</t>
        </is>
      </c>
      <c r="D71" s="4" t="inlineStr">
        <is>
          <t>-</t>
        </is>
      </c>
      <c r="E71" s="4" t="inlineStr">
        <is>
          <t>2시간</t>
        </is>
      </c>
      <c r="F71" s="4" t="inlineStr">
        <is>
          <t>선택</t>
        </is>
      </c>
    </row>
    <row r="72">
      <c r="A72" s="4" t="inlineStr">
        <is>
          <t>물성</t>
        </is>
      </c>
      <c r="B72" s="4" t="inlineStr">
        <is>
          <t>timestamp</t>
        </is>
      </c>
      <c r="C72" s="4" t="inlineStr">
        <is>
          <t>측정일시(예: 2026-10-07 14:00)</t>
        </is>
      </c>
      <c r="D72" s="4" t="inlineStr">
        <is>
          <t>-</t>
        </is>
      </c>
      <c r="E72" s="4" t="inlineStr">
        <is>
          <t>1일</t>
        </is>
      </c>
      <c r="F72" s="4" t="inlineStr">
        <is>
          <t>필수</t>
        </is>
      </c>
    </row>
    <row r="73">
      <c r="A73" s="4" t="inlineStr">
        <is>
          <t>물성</t>
        </is>
      </c>
      <c r="B73" s="4" t="inlineStr">
        <is>
          <t>product</t>
        </is>
      </c>
      <c r="C73" s="4" t="inlineStr">
        <is>
          <t>품종(1종/3종)</t>
        </is>
      </c>
      <c r="D73" s="4" t="inlineStr">
        <is>
          <t>-</t>
        </is>
      </c>
      <c r="E73" s="4" t="inlineStr">
        <is>
          <t>1일</t>
        </is>
      </c>
      <c r="F73" s="4" t="inlineStr">
        <is>
          <t>필수</t>
        </is>
      </c>
    </row>
    <row r="74">
      <c r="A74" s="4" t="inlineStr">
        <is>
          <t>물성</t>
        </is>
      </c>
      <c r="B74" s="4" t="inlineStr">
        <is>
          <t>phy_ist</t>
        </is>
      </c>
      <c r="C74" s="4" t="inlineStr">
        <is>
          <t>초결 시간</t>
        </is>
      </c>
      <c r="D74" s="4" t="inlineStr">
        <is>
          <t>분</t>
        </is>
      </c>
      <c r="E74" s="4" t="inlineStr">
        <is>
          <t>1일</t>
        </is>
      </c>
      <c r="F74" s="4" t="inlineStr">
        <is>
          <t>선택</t>
        </is>
      </c>
    </row>
    <row r="75">
      <c r="A75" s="4" t="inlineStr">
        <is>
          <t>물성</t>
        </is>
      </c>
      <c r="B75" s="4" t="inlineStr">
        <is>
          <t>phy_fst</t>
        </is>
      </c>
      <c r="C75" s="4" t="inlineStr">
        <is>
          <t>종결 시간</t>
        </is>
      </c>
      <c r="D75" s="4" t="inlineStr">
        <is>
          <t>분</t>
        </is>
      </c>
      <c r="E75" s="4" t="inlineStr">
        <is>
          <t>1일</t>
        </is>
      </c>
      <c r="F75" s="4" t="inlineStr">
        <is>
          <t>선택</t>
        </is>
      </c>
    </row>
    <row r="76">
      <c r="A76" s="4" t="inlineStr">
        <is>
          <t>물성</t>
        </is>
      </c>
      <c r="B76" s="4" t="inlineStr">
        <is>
          <t>phy_autoclave</t>
        </is>
      </c>
      <c r="C76" s="4" t="inlineStr">
        <is>
          <t>오토클레이브 팽창도</t>
        </is>
      </c>
      <c r="D76" s="4" t="inlineStr">
        <is>
          <t>%</t>
        </is>
      </c>
      <c r="E76" s="4" t="inlineStr">
        <is>
          <t>1일</t>
        </is>
      </c>
      <c r="F76" s="4" t="inlineStr">
        <is>
          <t>선택</t>
        </is>
      </c>
    </row>
    <row r="77">
      <c r="A77" s="4" t="inlineStr">
        <is>
          <t>물성</t>
        </is>
      </c>
      <c r="B77" s="4" t="inlineStr">
        <is>
          <t>phy_s1</t>
        </is>
      </c>
      <c r="C77" s="4" t="inlineStr">
        <is>
          <t>1일 압축강도</t>
        </is>
      </c>
      <c r="D77" s="4" t="inlineStr">
        <is>
          <t>MPa</t>
        </is>
      </c>
      <c r="E77" s="4" t="inlineStr">
        <is>
          <t>1일</t>
        </is>
      </c>
      <c r="F77" s="4" t="inlineStr">
        <is>
          <t>선택</t>
        </is>
      </c>
    </row>
    <row r="78">
      <c r="A78" s="4" t="inlineStr">
        <is>
          <t>물성</t>
        </is>
      </c>
      <c r="B78" s="4" t="inlineStr">
        <is>
          <t>phy_s3</t>
        </is>
      </c>
      <c r="C78" s="4" t="inlineStr">
        <is>
          <t>3일 압축강도</t>
        </is>
      </c>
      <c r="D78" s="4" t="inlineStr">
        <is>
          <t>MPa</t>
        </is>
      </c>
      <c r="E78" s="4" t="inlineStr">
        <is>
          <t>1일</t>
        </is>
      </c>
      <c r="F78" s="4" t="inlineStr">
        <is>
          <t>선택</t>
        </is>
      </c>
    </row>
    <row r="79">
      <c r="A79" s="4" t="inlineStr">
        <is>
          <t>물성</t>
        </is>
      </c>
      <c r="B79" s="4" t="inlineStr">
        <is>
          <t>phy_s7</t>
        </is>
      </c>
      <c r="C79" s="4" t="inlineStr">
        <is>
          <t>7일 압축강도</t>
        </is>
      </c>
      <c r="D79" s="4" t="inlineStr">
        <is>
          <t>MPa</t>
        </is>
      </c>
      <c r="E79" s="4" t="inlineStr">
        <is>
          <t>1일</t>
        </is>
      </c>
      <c r="F79" s="4" t="inlineStr">
        <is>
          <t>선택</t>
        </is>
      </c>
    </row>
    <row r="80">
      <c r="A80" s="4" t="inlineStr">
        <is>
          <t>물성</t>
        </is>
      </c>
      <c r="B80" s="4" t="inlineStr">
        <is>
          <t>phy_s28</t>
        </is>
      </c>
      <c r="C80" s="4" t="inlineStr">
        <is>
          <t>28일 압축강도</t>
        </is>
      </c>
      <c r="D80" s="4" t="inlineStr">
        <is>
          <t>MPa</t>
        </is>
      </c>
      <c r="E80" s="4" t="inlineStr">
        <is>
          <t>1일</t>
        </is>
      </c>
      <c r="F80" s="4" t="inlineStr">
        <is>
          <t>선택</t>
        </is>
      </c>
    </row>
    <row r="81">
      <c r="A81" s="4" t="inlineStr">
        <is>
          <t>물성</t>
        </is>
      </c>
      <c r="B81" s="4" t="inlineStr">
        <is>
          <t>phy_crvi</t>
        </is>
      </c>
      <c r="C81" s="4" t="inlineStr">
        <is>
          <t>시멘트 수용성 6가크롬</t>
        </is>
      </c>
      <c r="D81" s="4" t="inlineStr">
        <is>
          <t>mg/kg</t>
        </is>
      </c>
      <c r="E81" s="4" t="inlineStr">
        <is>
          <t>1일</t>
        </is>
      </c>
      <c r="F81" s="4" t="inlineStr">
        <is>
          <t>선택</t>
        </is>
      </c>
    </row>
    <row r="82">
      <c r="A82" s="4" t="inlineStr">
        <is>
          <t>물성</t>
        </is>
      </c>
      <c r="B82" s="4" t="inlineStr">
        <is>
          <t>lab_temp</t>
        </is>
      </c>
      <c r="C82" s="4" t="inlineStr">
        <is>
          <t>시험실 온도</t>
        </is>
      </c>
      <c r="D82" s="4" t="inlineStr">
        <is>
          <t>℃</t>
        </is>
      </c>
      <c r="E82" s="4" t="inlineStr">
        <is>
          <t>1일</t>
        </is>
      </c>
      <c r="F82" s="4" t="inlineStr">
        <is>
          <t>선택</t>
        </is>
      </c>
    </row>
    <row r="83">
      <c r="A83" s="4" t="inlineStr">
        <is>
          <t>물성</t>
        </is>
      </c>
      <c r="B83" s="4" t="inlineStr">
        <is>
          <t>lab_rh</t>
        </is>
      </c>
      <c r="C83" s="4" t="inlineStr">
        <is>
          <t>시험실 상대습도</t>
        </is>
      </c>
      <c r="D83" s="4" t="inlineStr">
        <is>
          <t>%</t>
        </is>
      </c>
      <c r="E83" s="4" t="inlineStr">
        <is>
          <t>1일</t>
        </is>
      </c>
      <c r="F83" s="4" t="inlineStr">
        <is>
          <t>선택</t>
        </is>
      </c>
    </row>
    <row r="84">
      <c r="A84" s="4" t="inlineStr">
        <is>
          <t>물성</t>
        </is>
      </c>
      <c r="B84" s="4" t="inlineStr">
        <is>
          <t>lab_cure_temp</t>
        </is>
      </c>
      <c r="C84" s="4" t="inlineStr">
        <is>
          <t>양생수 온도</t>
        </is>
      </c>
      <c r="D84" s="4" t="inlineStr">
        <is>
          <t>℃</t>
        </is>
      </c>
      <c r="E84" s="4" t="inlineStr">
        <is>
          <t>1일</t>
        </is>
      </c>
      <c r="F84" s="4" t="inlineStr">
        <is>
          <t>선택</t>
        </is>
      </c>
    </row>
    <row r="85">
      <c r="A85" s="4" t="inlineStr">
        <is>
          <t>물성</t>
        </is>
      </c>
      <c r="B85" s="4" t="inlineStr">
        <is>
          <t>sand_lot</t>
        </is>
      </c>
      <c r="C85" s="4" t="inlineStr">
        <is>
          <t>표준사 Lot</t>
        </is>
      </c>
      <c r="D85" s="4" t="inlineStr">
        <is>
          <t>-</t>
        </is>
      </c>
      <c r="E85" s="4" t="inlineStr">
        <is>
          <t>1일</t>
        </is>
      </c>
      <c r="F85" s="4" t="inlineStr">
        <is>
          <t>선택</t>
        </is>
      </c>
    </row>
    <row r="86">
      <c r="A86" s="4" t="inlineStr">
        <is>
          <t>물성</t>
        </is>
      </c>
      <c r="B86" s="4" t="inlineStr">
        <is>
          <t>operator</t>
        </is>
      </c>
      <c r="C86" s="4" t="inlineStr">
        <is>
          <t>시험 조</t>
        </is>
      </c>
      <c r="D86" s="4" t="inlineStr">
        <is>
          <t>-</t>
        </is>
      </c>
      <c r="E86" s="4" t="inlineStr">
        <is>
          <t>1일</t>
        </is>
      </c>
      <c r="F86" s="4" t="inlineStr">
        <is>
          <t>선택</t>
        </is>
      </c>
    </row>
    <row r="87">
      <c r="A87" s="4" t="inlineStr">
        <is>
          <t>클링커일일</t>
        </is>
      </c>
      <c r="B87" s="4" t="inlineStr">
        <is>
          <t>timestamp</t>
        </is>
      </c>
      <c r="C87" s="4" t="inlineStr">
        <is>
          <t>측정일시(예: 2026-10-07 14:00)</t>
        </is>
      </c>
      <c r="D87" s="4" t="inlineStr">
        <is>
          <t>-</t>
        </is>
      </c>
      <c r="E87" s="4" t="inlineStr">
        <is>
          <t>1일</t>
        </is>
      </c>
      <c r="F87" s="4" t="inlineStr">
        <is>
          <t>필수</t>
        </is>
      </c>
    </row>
    <row r="88">
      <c r="A88" s="4" t="inlineStr">
        <is>
          <t>클링커일일</t>
        </is>
      </c>
      <c r="B88" s="4" t="inlineStr">
        <is>
          <t>line</t>
        </is>
      </c>
      <c r="C88" s="4" t="inlineStr">
        <is>
          <t>line</t>
        </is>
      </c>
      <c r="D88" s="4" t="inlineStr">
        <is>
          <t>-</t>
        </is>
      </c>
      <c r="E88" s="4" t="inlineStr">
        <is>
          <t>1일</t>
        </is>
      </c>
      <c r="F88" s="4" t="inlineStr">
        <is>
          <t>선택</t>
        </is>
      </c>
    </row>
    <row r="89">
      <c r="A89" s="4" t="inlineStr">
        <is>
          <t>클링커일일</t>
        </is>
      </c>
      <c r="B89" s="4" t="inlineStr">
        <is>
          <t>grade</t>
        </is>
      </c>
      <c r="C89" s="4" t="inlineStr">
        <is>
          <t>grade</t>
        </is>
      </c>
      <c r="D89" s="4" t="inlineStr">
        <is>
          <t>-</t>
        </is>
      </c>
      <c r="E89" s="4" t="inlineStr">
        <is>
          <t>1일</t>
        </is>
      </c>
      <c r="F89" s="4" t="inlineStr">
        <is>
          <t>선택</t>
        </is>
      </c>
    </row>
    <row r="90">
      <c r="A90" s="4" t="inlineStr">
        <is>
          <t>클링커일일</t>
        </is>
      </c>
      <c r="B90" s="4" t="inlineStr">
        <is>
          <t>xrd_alite</t>
        </is>
      </c>
      <c r="C90" s="4" t="inlineStr">
        <is>
          <t>XRD 알라이트(C₃S)</t>
        </is>
      </c>
      <c r="D90" s="4" t="inlineStr">
        <is>
          <t>%</t>
        </is>
      </c>
      <c r="E90" s="4" t="inlineStr">
        <is>
          <t>1일</t>
        </is>
      </c>
      <c r="F90" s="4" t="inlineStr">
        <is>
          <t>선택</t>
        </is>
      </c>
    </row>
    <row r="91">
      <c r="A91" s="4" t="inlineStr">
        <is>
          <t>클링커일일</t>
        </is>
      </c>
      <c r="B91" s="4" t="inlineStr">
        <is>
          <t>xrd_belite</t>
        </is>
      </c>
      <c r="C91" s="4" t="inlineStr">
        <is>
          <t>XRD 벨라이트(C₂S)</t>
        </is>
      </c>
      <c r="D91" s="4" t="inlineStr">
        <is>
          <t>%</t>
        </is>
      </c>
      <c r="E91" s="4" t="inlineStr">
        <is>
          <t>1일</t>
        </is>
      </c>
      <c r="F91" s="4" t="inlineStr">
        <is>
          <t>선택</t>
        </is>
      </c>
    </row>
    <row r="92">
      <c r="A92" s="4" t="inlineStr">
        <is>
          <t>클링커일일</t>
        </is>
      </c>
      <c r="B92" s="4" t="inlineStr">
        <is>
          <t>xrd_c3a</t>
        </is>
      </c>
      <c r="C92" s="4" t="inlineStr">
        <is>
          <t>XRD C₃A(입방+사방)</t>
        </is>
      </c>
      <c r="D92" s="4" t="inlineStr">
        <is>
          <t>%</t>
        </is>
      </c>
      <c r="E92" s="4" t="inlineStr">
        <is>
          <t>1일</t>
        </is>
      </c>
      <c r="F92" s="4" t="inlineStr">
        <is>
          <t>선택</t>
        </is>
      </c>
    </row>
    <row r="93">
      <c r="A93" s="4" t="inlineStr">
        <is>
          <t>클링커일일</t>
        </is>
      </c>
      <c r="B93" s="4" t="inlineStr">
        <is>
          <t>xrd_c4af</t>
        </is>
      </c>
      <c r="C93" s="4" t="inlineStr">
        <is>
          <t>XRD 페라이트(C₄AF)</t>
        </is>
      </c>
      <c r="D93" s="4" t="inlineStr">
        <is>
          <t>%</t>
        </is>
      </c>
      <c r="E93" s="4" t="inlineStr">
        <is>
          <t>1일</t>
        </is>
      </c>
      <c r="F93" s="4" t="inlineStr">
        <is>
          <t>선택</t>
        </is>
      </c>
    </row>
    <row r="94">
      <c r="A94" s="4" t="inlineStr">
        <is>
          <t>클링커일일</t>
        </is>
      </c>
      <c r="B94" s="4" t="inlineStr">
        <is>
          <t>xrd_fcao</t>
        </is>
      </c>
      <c r="C94" s="4" t="inlineStr">
        <is>
          <t>XRD 자유석회</t>
        </is>
      </c>
      <c r="D94" s="4" t="inlineStr">
        <is>
          <t>%</t>
        </is>
      </c>
      <c r="E94" s="4" t="inlineStr">
        <is>
          <t>1일</t>
        </is>
      </c>
      <c r="F94" s="4" t="inlineStr">
        <is>
          <t>선택</t>
        </is>
      </c>
    </row>
    <row r="95">
      <c r="A95" s="4" t="inlineStr">
        <is>
          <t>클링커일일</t>
        </is>
      </c>
      <c r="B95" s="4" t="inlineStr">
        <is>
          <t>xrd_periclase</t>
        </is>
      </c>
      <c r="C95" s="4" t="inlineStr">
        <is>
          <t>XRD 페리클레이스(MgO)</t>
        </is>
      </c>
      <c r="D95" s="4" t="inlineStr">
        <is>
          <t>%</t>
        </is>
      </c>
      <c r="E95" s="4" t="inlineStr">
        <is>
          <t>1일</t>
        </is>
      </c>
      <c r="F95" s="4" t="inlineStr">
        <is>
          <t>선택</t>
        </is>
      </c>
    </row>
    <row r="96">
      <c r="A96" s="4" t="inlineStr">
        <is>
          <t>클링커일일</t>
        </is>
      </c>
      <c r="B96" s="4" t="inlineStr">
        <is>
          <t>clk_cr</t>
        </is>
      </c>
      <c r="C96" s="4" t="inlineStr">
        <is>
          <t>클링커 총 크롬</t>
        </is>
      </c>
      <c r="D96" s="4" t="inlineStr">
        <is>
          <t>mg/kg</t>
        </is>
      </c>
      <c r="E96" s="4" t="inlineStr">
        <is>
          <t>1일</t>
        </is>
      </c>
      <c r="F96" s="4" t="inlineStr">
        <is>
          <t>선택</t>
        </is>
      </c>
    </row>
    <row r="97">
      <c r="A97" s="4" t="inlineStr">
        <is>
          <t>클링커일일</t>
        </is>
      </c>
      <c r="B97" s="4" t="inlineStr">
        <is>
          <t>clk_crvi</t>
        </is>
      </c>
      <c r="C97" s="4" t="inlineStr">
        <is>
          <t>클링커 수용성 Cr⁶⁺</t>
        </is>
      </c>
      <c r="D97" s="4" t="inlineStr">
        <is>
          <t>mg/kg</t>
        </is>
      </c>
      <c r="E97" s="4" t="inlineStr">
        <is>
          <t>1일</t>
        </is>
      </c>
      <c r="F97" s="4" t="inlineStr">
        <is>
          <t>선택</t>
        </is>
      </c>
    </row>
    <row r="99">
      <c r="A99" s="2" t="inlineStr">
        <is>
          <t>※ LSF·SM·IM·C₃S·액상량 등 파생값은 시스템이 자동 계산하므로 입력하지 않음. 같은 측정일시(+품종)는 값이 있는 칸만 덮어씀(빈 칸은 기존 값 유지 — LIMS 결과 순차 반영).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zoomScale="9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34" customWidth="1" min="4" max="4"/>
    <col width="34" customWidth="1" min="5" max="5"/>
  </cols>
  <sheetData>
    <row r="1" ht="30" customHeight="1">
      <c r="A1" s="9" t="inlineStr">
        <is>
          <t>구분</t>
        </is>
      </c>
      <c r="B1" s="9" t="inlineStr">
        <is>
          <t>1종(보통)</t>
        </is>
      </c>
      <c r="C1" s="9" t="inlineStr">
        <is>
          <t>3종(조강)</t>
        </is>
      </c>
      <c r="D1" s="9" t="inlineStr">
        <is>
          <t>근거</t>
        </is>
      </c>
      <c r="E1" s="9" t="inlineStr">
        <is>
          <t>확인 상태</t>
        </is>
      </c>
    </row>
    <row r="2">
      <c r="A2" s="4" t="inlineStr">
        <is>
          <t>압축강도 1일</t>
        </is>
      </c>
      <c r="B2" s="7" t="inlineStr">
        <is>
          <t>-</t>
        </is>
      </c>
      <c r="C2" s="7" t="inlineStr">
        <is>
          <t>10.0 MPa 이상</t>
        </is>
      </c>
      <c r="D2" s="4" t="inlineStr">
        <is>
          <t>KS L 5201</t>
        </is>
      </c>
      <c r="E2" s="4" t="inlineStr">
        <is>
          <t>웹 검색 확인(2026-10)</t>
        </is>
      </c>
    </row>
    <row r="3">
      <c r="A3" s="4" t="inlineStr">
        <is>
          <t>압축강도 3일</t>
        </is>
      </c>
      <c r="B3" s="7" t="inlineStr">
        <is>
          <t>12.5 MPa 이상</t>
        </is>
      </c>
      <c r="C3" s="7" t="inlineStr">
        <is>
          <t>20.0 MPa 이상</t>
        </is>
      </c>
      <c r="D3" s="4" t="inlineStr">
        <is>
          <t>KS L 5201</t>
        </is>
      </c>
      <c r="E3" s="4" t="inlineStr">
        <is>
          <t>웹 검색 확인(2026-10)</t>
        </is>
      </c>
    </row>
    <row r="4">
      <c r="A4" s="4" t="inlineStr">
        <is>
          <t>압축강도 7일</t>
        </is>
      </c>
      <c r="B4" s="7" t="inlineStr">
        <is>
          <t>22.5 MPa 이상</t>
        </is>
      </c>
      <c r="C4" s="7" t="inlineStr">
        <is>
          <t>32.5 MPa 이상</t>
        </is>
      </c>
      <c r="D4" s="4" t="inlineStr">
        <is>
          <t>KS L 5201</t>
        </is>
      </c>
      <c r="E4" s="4" t="inlineStr">
        <is>
          <t>웹 검색 확인(2026-10)</t>
        </is>
      </c>
    </row>
    <row r="5">
      <c r="A5" s="4" t="inlineStr">
        <is>
          <t>압축강도 28일</t>
        </is>
      </c>
      <c r="B5" s="7" t="inlineStr">
        <is>
          <t>42.5 MPa 이상</t>
        </is>
      </c>
      <c r="C5" s="7" t="inlineStr">
        <is>
          <t>47.5 MPa 이상</t>
        </is>
      </c>
      <c r="D5" s="4" t="inlineStr">
        <is>
          <t>KS L 5201</t>
        </is>
      </c>
      <c r="E5" s="4" t="inlineStr">
        <is>
          <t>웹 검색 확인(2026-10)</t>
        </is>
      </c>
    </row>
    <row r="6">
      <c r="A6" s="4" t="inlineStr">
        <is>
          <t>분말도(비표면적)</t>
        </is>
      </c>
      <c r="B6" s="7" t="inlineStr">
        <is>
          <t>2,800 cm²/g 이상</t>
        </is>
      </c>
      <c r="C6" s="7" t="inlineStr">
        <is>
          <t>3,300 cm²/g 이상</t>
        </is>
      </c>
      <c r="D6" s="4" t="inlineStr">
        <is>
          <t>KS L 5201 (시험: KS L 5106)</t>
        </is>
      </c>
      <c r="E6" s="4" t="inlineStr">
        <is>
          <t>웹 검색 확인(2026-10)</t>
        </is>
      </c>
    </row>
    <row r="7">
      <c r="A7" s="4" t="inlineStr">
        <is>
          <t>응결시간(비카)</t>
        </is>
      </c>
      <c r="B7" s="7" t="inlineStr">
        <is>
          <t>초결 60분 이상, 종결 10시간 이하</t>
        </is>
      </c>
      <c r="C7" s="7" t="inlineStr">
        <is>
          <t>1종과 동일 적용</t>
        </is>
      </c>
      <c r="D7" s="4" t="inlineStr">
        <is>
          <t>KS L 5201 (시험: KS L 5108)</t>
        </is>
      </c>
      <c r="E7" s="4" t="inlineStr">
        <is>
          <t>1종 확인 · 3종 원문 대조 필요</t>
        </is>
      </c>
    </row>
    <row r="8">
      <c r="A8" s="4" t="inlineStr">
        <is>
          <t>안정도(오토클레이브 팽창도)</t>
        </is>
      </c>
      <c r="B8" s="7" t="inlineStr">
        <is>
          <t>0.8% 이하</t>
        </is>
      </c>
      <c r="C8" s="7" t="inlineStr">
        <is>
          <t>0.8% 이하</t>
        </is>
      </c>
      <c r="D8" s="4" t="inlineStr">
        <is>
          <t>KS L 5201 (시험: KS L 5107)</t>
        </is>
      </c>
      <c r="E8" s="4" t="inlineStr">
        <is>
          <t>웹 검색 확인(2026-10)</t>
        </is>
      </c>
    </row>
    <row r="9">
      <c r="A9" s="4" t="inlineStr">
        <is>
          <t>산화마그네슘(MgO)</t>
        </is>
      </c>
      <c r="B9" s="7" t="inlineStr">
        <is>
          <t>5.0% 이하</t>
        </is>
      </c>
      <c r="C9" s="7" t="inlineStr">
        <is>
          <t>5.0% 이하</t>
        </is>
      </c>
      <c r="D9" s="4" t="inlineStr">
        <is>
          <t>KS L 5201</t>
        </is>
      </c>
      <c r="E9" s="4" t="inlineStr">
        <is>
          <t>웹 검색 확인(2026-10)</t>
        </is>
      </c>
    </row>
    <row r="10">
      <c r="A10" s="4" t="inlineStr">
        <is>
          <t>삼산화황(SO₃)</t>
        </is>
      </c>
      <c r="B10" s="7" t="inlineStr">
        <is>
          <t>3.5% 이하</t>
        </is>
      </c>
      <c r="C10" s="7" t="inlineStr">
        <is>
          <t>4.5% 이하</t>
        </is>
      </c>
      <c r="D10" s="4" t="inlineStr">
        <is>
          <t>KS L 5201</t>
        </is>
      </c>
      <c r="E10" s="4" t="inlineStr">
        <is>
          <t>웹 검색 확인(2026-10)</t>
        </is>
      </c>
    </row>
    <row r="11">
      <c r="A11" s="4" t="inlineStr">
        <is>
          <t>강열감량</t>
        </is>
      </c>
      <c r="B11" s="7" t="inlineStr">
        <is>
          <t>5.0% 이하</t>
        </is>
      </c>
      <c r="C11" s="7" t="inlineStr">
        <is>
          <t>5.0% 이하</t>
        </is>
      </c>
      <c r="D11" s="4" t="inlineStr">
        <is>
          <t>KS L 5201 (2016 개정 3.0→5.0%)</t>
        </is>
      </c>
      <c r="E11" s="4" t="inlineStr">
        <is>
          <t>웹 검색 확인(2026-10)</t>
        </is>
      </c>
    </row>
    <row r="12">
      <c r="A12" s="4" t="inlineStr">
        <is>
          <t>강도 시험조건</t>
        </is>
      </c>
      <c r="B12" s="7" t="inlineStr">
        <is>
          <t>시험실 20±2 ℃·RH 50% 이상, 양생수 20±1 ℃, 재하 2,400±200 N/s</t>
        </is>
      </c>
      <c r="C12" s="7" t="inlineStr">
        <is>
          <t>동일</t>
        </is>
      </c>
      <c r="D12" s="4" t="inlineStr">
        <is>
          <t>KS L ISO 679 (ISO 679)</t>
        </is>
      </c>
      <c r="E12" s="4" t="inlineStr">
        <is>
          <t>ISO 679 규정값 적용 — KS 원문 대조 필요</t>
        </is>
      </c>
    </row>
    <row r="13">
      <c r="A13" s="4" t="inlineStr">
        <is>
          <t>수용성 6가크롬(참고)</t>
        </is>
      </c>
      <c r="B13" s="7" t="inlineStr">
        <is>
          <t>20 mg/kg 이하</t>
        </is>
      </c>
      <c r="C13" s="7" t="inlineStr">
        <is>
          <t>20 mg/kg 이하</t>
        </is>
      </c>
      <c r="D13" s="4" t="inlineStr">
        <is>
          <t>환경부–시멘트업계 자율협약(시험: KS L 5221) — KS L 5201 아님</t>
        </is>
      </c>
      <c r="E13" s="4" t="inlineStr">
        <is>
          <t>웹 검색 확인(2026-10) · 협약 원문 확인 권장</t>
        </is>
      </c>
    </row>
    <row r="14">
      <c r="A14" s="4" t="inlineStr">
        <is>
          <t>수용성 6가크롬(EU 참고)</t>
        </is>
      </c>
      <c r="B14" s="7" t="inlineStr">
        <is>
          <t>2 mg/kg 이하</t>
        </is>
      </c>
      <c r="C14" s="7" t="inlineStr">
        <is>
          <t>2 mg/kg 이하</t>
        </is>
      </c>
      <c r="D14" s="4" t="inlineStr">
        <is>
          <t>EU REACH 부속서 XVII 47항(시험: EN 196-10)</t>
        </is>
      </c>
      <c r="E14" s="4" t="inlineStr">
        <is>
          <t>시험법이 달라 국내 수치와 직접 비교 불가</t>
        </is>
      </c>
    </row>
    <row r="16">
      <c r="A16" s="2" t="inlineStr">
        <is>
          <t>출처: e나라표준인증 KS L 5201 https://standard.go.kr/KSCI/standardIntro/getStandardSearchView.do?ksNo=KSL5201</t>
        </is>
      </c>
    </row>
    <row r="17">
      <c r="A17" s="2" t="inlineStr">
        <is>
          <t>출처: 한국시멘트협회 KS 규격 요약 http://www.cement.or.kr/tech_2014/standard.asp?sm=3_6_1</t>
        </is>
      </c>
    </row>
    <row r="18">
      <c r="A18" s="2" t="inlineStr">
        <is>
          <t>※ 2종(중용열)·4종(저열)·5종(내황산염) 기준은 원문 확인 후 추가. KS는 개정될 수 있으므로 연 1회 최신판 대조 권장.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="9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6" customWidth="1" min="3" max="3"/>
    <col width="36" customWidth="1" min="4" max="4"/>
    <col width="32" customWidth="1" min="5" max="5"/>
    <col width="12" customWidth="1" min="6" max="6"/>
  </cols>
  <sheetData>
    <row r="1" ht="30" customHeight="1">
      <c r="A1" s="9" t="inlineStr">
        <is>
          <t>단계</t>
        </is>
      </c>
      <c r="B1" s="9" t="inlineStr">
        <is>
          <t>기간(추정)</t>
        </is>
      </c>
      <c r="C1" s="9" t="inlineStr">
        <is>
          <t>주요 내용</t>
        </is>
      </c>
      <c r="D1" s="9" t="inlineStr">
        <is>
          <t>산출물</t>
        </is>
      </c>
      <c r="E1" s="9" t="inlineStr">
        <is>
          <t>필요 자원(추정)</t>
        </is>
      </c>
      <c r="F1" s="9" t="inlineStr">
        <is>
          <t>상태</t>
        </is>
      </c>
    </row>
    <row r="2" ht="48" customHeight="1">
      <c r="A2" s="4" t="inlineStr">
        <is>
          <t>1단계 MVP</t>
        </is>
      </c>
      <c r="B2" s="4" t="inlineStr">
        <is>
          <t>완료</t>
        </is>
      </c>
      <c r="C2" s="4" t="inlineStr">
        <is>
          <t>모니터링·3단계 기준·알림·5축 원인진단·28일 예측·보고서(PPT/엑셀)·엑셀 업로드·데모 데이터</t>
        </is>
      </c>
      <c r="D2" s="4" t="inlineStr">
        <is>
          <t>Streamlit 시스템, 정의서, 구축 계획서</t>
        </is>
      </c>
      <c r="E2" s="4" t="inlineStr">
        <is>
          <t>품질 담당 1명 + 사내 PC 1대</t>
        </is>
      </c>
      <c r="F2" s="4" t="inlineStr">
        <is>
          <t>완료</t>
        </is>
      </c>
    </row>
    <row r="3" ht="48" customHeight="1">
      <c r="A3" s="4" t="inlineStr">
        <is>
          <t>2단계 확장 기능</t>
        </is>
      </c>
      <c r="B3" s="4" t="inlineStr">
        <is>
          <t>완료</t>
        </is>
      </c>
      <c r="C3" s="4" t="inlineStr">
        <is>
          <t>원료 배합 최적화(LSF·SM·IM·C₃S, 원가 최소)·클링커 계수·XRD 광물 예측, 재령별 강도·응결 예측과 제어 솔루션, 시멘트 6가크롬 물질수지·환원제 투입량, LIMS 연동(SQL·REST·파일), AI(Claude) 솔루션 보고서</t>
        </is>
      </c>
      <c r="D3" s="4" t="inlineStr">
        <is>
          <t>배합 설계서·6가크롬 평가표(엑셀), 기능 확장 보고(PPT)</t>
        </is>
      </c>
      <c r="E3" s="4" t="inlineStr">
        <is>
          <t>품질 담당 1명</t>
        </is>
      </c>
      <c r="F3" s="4" t="inlineStr">
        <is>
          <t>개발 완료(실데이터 검증 필요)</t>
        </is>
      </c>
    </row>
    <row r="4" ht="48" customHeight="1">
      <c r="A4" s="4" t="inlineStr">
        <is>
          <t>3단계 실데이터 시범</t>
        </is>
      </c>
      <c r="B4" s="4" t="inlineStr">
        <is>
          <t>약 2~3개월</t>
        </is>
      </c>
      <c r="C4" s="4" t="inlineStr">
        <is>
          <t>LIMS 실연결(읽기 전용 계정)·실데이터 3개월 적재 → 사내 기준·예측 모델·킬른 전환율·환원제 과잉계수 보정, 알림 채널 연결, AI 보고서 보안 승인 후 시범 사용</t>
        </is>
      </c>
      <c r="D4" s="4" t="inlineStr">
        <is>
          <t>확정 관리기준, 시범 운영 보고</t>
        </is>
      </c>
      <c r="E4" s="4" t="inlineStr">
        <is>
          <t>IT·LIMS 담당 협조, 정보보안 승인</t>
        </is>
      </c>
      <c r="F4" s="4" t="inlineStr">
        <is>
          <t>예정</t>
        </is>
      </c>
    </row>
    <row r="5" ht="48" customHeight="1">
      <c r="A5" s="4" t="inlineStr">
        <is>
          <t>4단계 고도화</t>
        </is>
      </c>
      <c r="B5" s="4" t="inlineStr">
        <is>
          <t>약 3~6개월</t>
        </is>
      </c>
      <c r="C5" s="4" t="inlineStr">
        <is>
          <t>조치 이력 기반 지식베이스 학습, 입도분포(PSD) 반영 강도 모델, 원료 품위 예측 연계 배합 자동 보정</t>
        </is>
      </c>
      <c r="D5" s="4" t="inlineStr">
        <is>
          <t>고도화 기능, 효과 분석</t>
        </is>
      </c>
      <c r="E5" s="4" t="inlineStr">
        <is>
          <t>품질·생산·설비 협업</t>
        </is>
      </c>
      <c r="F5" s="4" t="inlineStr">
        <is>
          <t>계획</t>
        </is>
      </c>
    </row>
    <row r="6" ht="48" customHeight="1">
      <c r="A6" s="4" t="inlineStr">
        <is>
          <t>5단계 확산</t>
        </is>
      </c>
      <c r="B6" s="4" t="inlineStr">
        <is>
          <t>추후</t>
        </is>
      </c>
      <c r="C6" s="4" t="inlineStr">
        <is>
          <t>DB/OPC-UA 실시간 연계, 모바일 알림, 타 공정·타 공장 확산</t>
        </is>
      </c>
      <c r="D6" s="4" t="inlineStr">
        <is>
          <t>운영 표준·교육 자료</t>
        </is>
      </c>
      <c r="E6" s="4" t="inlineStr">
        <is>
          <t>IT 투자 검토</t>
        </is>
      </c>
      <c r="F6" s="4" t="inlineStr">
        <is>
          <t>계획</t>
        </is>
      </c>
    </row>
    <row r="8">
      <c r="A8" s="2" t="inlineStr">
        <is>
          <t>※ 기간·자원은 일반적인 시범 구축 경험에 따른 추정치이며, 데이터 연계 범위에 따라 달라짐.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2026-10-28T04:56:32Z</dcterms:created>
  <dcterms:modified xmlns:dcterms="http://purl.org/dc/terms/" xmlns:xsi="http://www.w3.org/2001/XMLSchema-instance" xsi:type="dcterms:W3CDTF">2026-10-28T04:56:32Z</dcterms:modified>
</cp:coreProperties>
</file>