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요약" sheetId="2" state="visible" r:id="rId4"/>
    <sheet name="관리항목" sheetId="3" state="visible" r:id="rId5"/>
    <sheet name="알림규칙" sheetId="4" state="visible" r:id="rId6"/>
    <sheet name="SPC판정규칙" sheetId="5" state="visible" r:id="rId7"/>
    <sheet name="원인진단_지식베이스" sheetId="6" state="visible" r:id="rId8"/>
    <sheet name="데이터입력_항목" sheetId="7" state="visible" r:id="rId9"/>
    <sheet name="KS규격_근거" sheetId="8" state="visible" r:id="rId10"/>
    <sheet name="구축로드맵" sheetId="9" state="visible" r:id="rId11"/>
  </sheets>
  <definedNames>
    <definedName function="false" hidden="true" localSheetId="2" name="_xlnm._FilterDatabase" vbProcedure="false">관리항목!$A$1:$V$81</definedName>
    <definedName function="false" hidden="true" localSheetId="5" name="_xlnm._FilterDatabase" vbProcedure="false">원인진단_지식베이스!$A$1:$K$159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Q1" authorId="0">
      <text>
        <r>
          <rPr>
            <sz val="10"/>
            <rFont val="맑은 고딕"/>
            <family val="2"/>
          </rPr>
          <t xml:space="preserve">공장 확정값 입력 칸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맑은 고딕"/>
            <family val="2"/>
          </rPr>
          <t xml:space="preserve">노란색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맑은 고딕"/>
            <family val="2"/>
          </rPr>
          <t xml:space="preserve">비우면 초기값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맑은 고딕"/>
            <family val="2"/>
          </rPr>
          <t xml:space="preserve">회색</t>
        </r>
        <r>
          <rPr>
            <sz val="10"/>
            <rFont val="Arial"/>
            <family val="2"/>
          </rPr>
          <t xml:space="preserve">) </t>
        </r>
        <r>
          <rPr>
            <sz val="10"/>
            <rFont val="맑은 고딕"/>
            <family val="2"/>
          </rPr>
          <t xml:space="preserve">사용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<sst xmlns="http://schemas.openxmlformats.org/spreadsheetml/2006/main" count="3146" uniqueCount="932">
  <si>
    <r>
      <rPr>
        <b val="true"/>
        <sz val="16"/>
        <rFont val="맑은 고딕"/>
        <family val="2"/>
      </rPr>
      <t xml:space="preserve">시멘트 통합 품질관리 시스템</t>
    </r>
    <r>
      <rPr>
        <b val="true"/>
        <sz val="16"/>
        <rFont val="맑은 고딕"/>
        <family val="0"/>
        <charset val="1"/>
      </rPr>
      <t xml:space="preserve">(QMS) — </t>
    </r>
    <r>
      <rPr>
        <b val="true"/>
        <sz val="16"/>
        <rFont val="맑은 고딕"/>
        <family val="2"/>
      </rPr>
      <t xml:space="preserve">관리항목</t>
    </r>
    <r>
      <rPr>
        <b val="true"/>
        <sz val="16"/>
        <rFont val="맑은 고딕"/>
        <family val="0"/>
        <charset val="1"/>
      </rPr>
      <t xml:space="preserve">·</t>
    </r>
    <r>
      <rPr>
        <b val="true"/>
        <sz val="16"/>
        <rFont val="맑은 고딕"/>
        <family val="2"/>
      </rPr>
      <t xml:space="preserve">기준 정의서</t>
    </r>
  </si>
  <si>
    <r>
      <rPr>
        <sz val="10"/>
        <color rgb="FF5F6B73"/>
        <rFont val="맑은 고딕"/>
        <family val="2"/>
      </rPr>
      <t xml:space="preserve">작성</t>
    </r>
    <r>
      <rPr>
        <sz val="10"/>
        <color rgb="FF5F6B73"/>
        <rFont val="맑은 고딕"/>
        <family val="0"/>
        <charset val="1"/>
      </rPr>
      <t xml:space="preserve">: </t>
    </r>
    <r>
      <rPr>
        <sz val="10"/>
        <color rgb="FF5F6B73"/>
        <rFont val="맑은 고딕"/>
        <family val="2"/>
      </rPr>
      <t xml:space="preserve">품질관리팀 </t>
    </r>
    <r>
      <rPr>
        <sz val="10"/>
        <color rgb="FF5F6B73"/>
        <rFont val="맑은 고딕"/>
        <family val="0"/>
        <charset val="1"/>
      </rPr>
      <t xml:space="preserve">· </t>
    </r>
    <r>
      <rPr>
        <sz val="10"/>
        <color rgb="FF5F6B73"/>
        <rFont val="맑은 고딕"/>
        <family val="2"/>
      </rPr>
      <t xml:space="preserve">생성일 </t>
    </r>
    <r>
      <rPr>
        <sz val="10"/>
        <color rgb="FF5F6B73"/>
        <rFont val="맑은 고딕"/>
        <family val="0"/>
        <charset val="1"/>
      </rPr>
      <t xml:space="preserve">2026-10-08 · </t>
    </r>
    <r>
      <rPr>
        <sz val="10"/>
        <color rgb="FF5F6B73"/>
        <rFont val="맑은 고딕"/>
        <family val="2"/>
      </rPr>
      <t xml:space="preserve">시스템 설정</t>
    </r>
    <r>
      <rPr>
        <sz val="10"/>
        <color rgb="FF5F6B73"/>
        <rFont val="맑은 고딕"/>
        <family val="0"/>
        <charset val="1"/>
      </rPr>
      <t xml:space="preserve">(qms/standards.py, qms/knowledge.py)</t>
    </r>
    <r>
      <rPr>
        <sz val="10"/>
        <color rgb="FF5F6B73"/>
        <rFont val="맑은 고딕"/>
        <family val="2"/>
      </rPr>
      <t xml:space="preserve">에서 자동 생성</t>
    </r>
  </si>
  <si>
    <t xml:space="preserve">목적</t>
  </si>
  <si>
    <r>
      <rPr>
        <sz val="10"/>
        <rFont val="맑은 고딕"/>
        <family val="0"/>
        <charset val="1"/>
      </rPr>
      <t xml:space="preserve">QMS</t>
    </r>
    <r>
      <rPr>
        <sz val="10"/>
        <rFont val="맑은 고딕"/>
        <family val="2"/>
      </rPr>
      <t xml:space="preserve">가 감시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알림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진단에 사용하는 관리항목</t>
    </r>
    <r>
      <rPr>
        <sz val="10"/>
        <rFont val="맑은 고딕"/>
        <family val="0"/>
        <charset val="1"/>
      </rPr>
      <t xml:space="preserve">, KS </t>
    </r>
    <r>
      <rPr>
        <sz val="10"/>
        <rFont val="맑은 고딕"/>
        <family val="2"/>
      </rPr>
      <t xml:space="preserve">규격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사내 관리기준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알림 규칙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원인진단 지식베이스를 한 문서로 정의한다</t>
    </r>
    <r>
      <rPr>
        <sz val="10"/>
        <rFont val="맑은 고딕"/>
        <family val="0"/>
        <charset val="1"/>
      </rPr>
      <t xml:space="preserve">. </t>
    </r>
    <r>
      <rPr>
        <sz val="10"/>
        <rFont val="맑은 고딕"/>
        <family val="2"/>
      </rPr>
      <t xml:space="preserve">공장 실제 기준으로 확정한 값을 </t>
    </r>
    <r>
      <rPr>
        <sz val="10"/>
        <rFont val="맑은 고딕"/>
        <family val="0"/>
        <charset val="1"/>
      </rPr>
      <t xml:space="preserve">'</t>
    </r>
    <r>
      <rPr>
        <sz val="10"/>
        <rFont val="맑은 고딕"/>
        <family val="2"/>
      </rPr>
      <t xml:space="preserve">관리항목</t>
    </r>
    <r>
      <rPr>
        <sz val="10"/>
        <rFont val="맑은 고딕"/>
        <family val="0"/>
        <charset val="1"/>
      </rPr>
      <t xml:space="preserve">' </t>
    </r>
    <r>
      <rPr>
        <sz val="10"/>
        <rFont val="맑은 고딕"/>
        <family val="2"/>
      </rPr>
      <t xml:space="preserve">시트의 노란 칸에 입력하면 시스템 설정</t>
    </r>
    <r>
      <rPr>
        <sz val="10"/>
        <rFont val="맑은 고딕"/>
        <family val="0"/>
        <charset val="1"/>
      </rPr>
      <t xml:space="preserve">(⚙️ </t>
    </r>
    <r>
      <rPr>
        <sz val="10"/>
        <rFont val="맑은 고딕"/>
        <family val="2"/>
      </rPr>
      <t xml:space="preserve">기준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알림 설정</t>
    </r>
    <r>
      <rPr>
        <sz val="10"/>
        <rFont val="맑은 고딕"/>
        <family val="0"/>
        <charset val="1"/>
      </rPr>
      <t xml:space="preserve">)</t>
    </r>
    <r>
      <rPr>
        <sz val="10"/>
        <rFont val="맑은 고딕"/>
        <family val="2"/>
      </rPr>
      <t xml:space="preserve">에 반영한다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</si>
  <si>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2"/>
      </rPr>
      <t xml:space="preserve">작성 방법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맑은 고딕"/>
        <family val="2"/>
      </rPr>
      <t xml:space="preserve">입력 칸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</si>
  <si>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맑은 고딕"/>
        <family val="2"/>
      </rPr>
      <t xml:space="preserve">관리항목</t>
    </r>
    <r>
      <rPr>
        <sz val="10"/>
        <rFont val="맑은 고딕"/>
        <family val="0"/>
        <charset val="1"/>
      </rPr>
      <t xml:space="preserve">' </t>
    </r>
    <r>
      <rPr>
        <sz val="10"/>
        <rFont val="맑은 고딕"/>
        <family val="2"/>
      </rPr>
      <t xml:space="preserve">시트의 노란색 칸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사내 하한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상한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목표 </t>
    </r>
    <r>
      <rPr>
        <sz val="10"/>
        <rFont val="맑은 고딕"/>
        <family val="0"/>
        <charset val="1"/>
      </rPr>
      <t xml:space="preserve">'</t>
    </r>
    <r>
      <rPr>
        <sz val="10"/>
        <rFont val="맑은 고딕"/>
        <family val="2"/>
      </rPr>
      <t xml:space="preserve">확정값</t>
    </r>
    <r>
      <rPr>
        <sz val="10"/>
        <rFont val="맑은 고딕"/>
        <family val="0"/>
        <charset val="1"/>
      </rPr>
      <t xml:space="preserve">')</t>
    </r>
    <r>
      <rPr>
        <sz val="10"/>
        <rFont val="맑은 고딕"/>
        <family val="2"/>
      </rPr>
      <t xml:space="preserve">만 입력한다</t>
    </r>
    <r>
      <rPr>
        <sz val="10"/>
        <rFont val="맑은 고딕"/>
        <family val="0"/>
        <charset val="1"/>
      </rPr>
      <t xml:space="preserve">. </t>
    </r>
    <r>
      <rPr>
        <sz val="10"/>
        <rFont val="맑은 고딕"/>
        <family val="2"/>
      </rPr>
      <t xml:space="preserve">비워 두면 회색 칸의 시스템 초기값을 계속 사용한다</t>
    </r>
    <r>
      <rPr>
        <sz val="10"/>
        <rFont val="맑은 고딕"/>
        <family val="0"/>
        <charset val="1"/>
      </rPr>
      <t xml:space="preserve">.</t>
    </r>
  </si>
  <si>
    <t xml:space="preserve">범례 — 노란 칸</t>
  </si>
  <si>
    <t xml:space="preserve">공장이 입력할 확정값</t>
  </si>
  <si>
    <t xml:space="preserve">범례 — 회색 칸</t>
  </si>
  <si>
    <r>
      <rPr>
        <sz val="10"/>
        <rFont val="맑은 고딕"/>
        <family val="2"/>
      </rPr>
      <t xml:space="preserve">시스템 초기값</t>
    </r>
    <r>
      <rPr>
        <sz val="10"/>
        <rFont val="맑은 고딕"/>
        <family val="0"/>
        <charset val="1"/>
      </rPr>
      <t xml:space="preserve">: </t>
    </r>
    <r>
      <rPr>
        <sz val="10"/>
        <rFont val="맑은 고딕"/>
        <family val="2"/>
      </rPr>
      <t xml:space="preserve">업계 경험칙 기반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추정</t>
    </r>
    <r>
      <rPr>
        <sz val="10"/>
        <rFont val="맑은 고딕"/>
        <family val="0"/>
        <charset val="1"/>
      </rPr>
      <t xml:space="preserve">). </t>
    </r>
    <r>
      <rPr>
        <sz val="10"/>
        <rFont val="맑은 고딕"/>
        <family val="2"/>
      </rPr>
      <t xml:space="preserve">공장 데이터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실험으로 검증 후 확정 필요</t>
    </r>
  </si>
  <si>
    <t xml:space="preserve">범례 — 파란 글씨</t>
  </si>
  <si>
    <r>
      <rPr>
        <sz val="10"/>
        <color rgb="FF0000FF"/>
        <rFont val="맑은 고딕"/>
        <family val="0"/>
        <charset val="1"/>
      </rPr>
      <t xml:space="preserve">KS </t>
    </r>
    <r>
      <rPr>
        <sz val="10"/>
        <color rgb="FF0000FF"/>
        <rFont val="맑은 고딕"/>
        <family val="2"/>
      </rPr>
      <t xml:space="preserve">규격값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맑은 고딕"/>
        <family val="2"/>
      </rPr>
      <t xml:space="preserve">외부 근거</t>
    </r>
    <r>
      <rPr>
        <sz val="10"/>
        <color rgb="FF0000FF"/>
        <rFont val="맑은 고딕"/>
        <family val="0"/>
        <charset val="1"/>
      </rPr>
      <t xml:space="preserve">). </t>
    </r>
    <r>
      <rPr>
        <sz val="10"/>
        <color rgb="FF0000FF"/>
        <rFont val="맑은 고딕"/>
        <family val="2"/>
      </rPr>
      <t xml:space="preserve">수정 대상 아님 — 근거는 </t>
    </r>
    <r>
      <rPr>
        <sz val="10"/>
        <color rgb="FF0000FF"/>
        <rFont val="맑은 고딕"/>
        <family val="0"/>
        <charset val="1"/>
      </rPr>
      <t xml:space="preserve">'KS</t>
    </r>
    <r>
      <rPr>
        <sz val="10"/>
        <color rgb="FF0000FF"/>
        <rFont val="맑은 고딕"/>
        <family val="2"/>
      </rPr>
      <t xml:space="preserve">규격</t>
    </r>
    <r>
      <rPr>
        <sz val="10"/>
        <color rgb="FF0000FF"/>
        <rFont val="맑은 고딕"/>
        <family val="0"/>
        <charset val="1"/>
      </rPr>
      <t xml:space="preserve">_</t>
    </r>
    <r>
      <rPr>
        <sz val="10"/>
        <color rgb="FF0000FF"/>
        <rFont val="맑은 고딕"/>
        <family val="2"/>
      </rPr>
      <t xml:space="preserve">근거</t>
    </r>
    <r>
      <rPr>
        <sz val="10"/>
        <color rgb="FF0000FF"/>
        <rFont val="맑은 고딕"/>
        <family val="0"/>
        <charset val="1"/>
      </rPr>
      <t xml:space="preserve">' </t>
    </r>
    <r>
      <rPr>
        <sz val="10"/>
        <color rgb="FF0000FF"/>
        <rFont val="맑은 고딕"/>
        <family val="2"/>
      </rPr>
      <t xml:space="preserve">시트</t>
    </r>
  </si>
  <si>
    <t xml:space="preserve">작성 예시</t>
  </si>
  <si>
    <r>
      <rPr>
        <sz val="10"/>
        <rFont val="맑은 고딕"/>
        <family val="2"/>
      </rPr>
      <t xml:space="preserve">예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클링커 자유석회</t>
    </r>
    <r>
      <rPr>
        <sz val="10"/>
        <rFont val="맑은 고딕"/>
        <family val="0"/>
        <charset val="1"/>
      </rPr>
      <t xml:space="preserve">(f-CaO): </t>
    </r>
    <r>
      <rPr>
        <sz val="10"/>
        <rFont val="맑은 고딕"/>
        <family val="2"/>
      </rPr>
      <t xml:space="preserve">확정 하한 </t>
    </r>
    <r>
      <rPr>
        <sz val="10"/>
        <rFont val="맑은 고딕"/>
        <family val="0"/>
        <charset val="1"/>
      </rPr>
      <t xml:space="preserve">0.5 / </t>
    </r>
    <r>
      <rPr>
        <sz val="10"/>
        <rFont val="맑은 고딕"/>
        <family val="2"/>
      </rPr>
      <t xml:space="preserve">확정 상한 </t>
    </r>
    <r>
      <rPr>
        <sz val="10"/>
        <rFont val="맑은 고딕"/>
        <family val="0"/>
        <charset val="1"/>
      </rPr>
      <t xml:space="preserve">1.6 / </t>
    </r>
    <r>
      <rPr>
        <sz val="10"/>
        <rFont val="맑은 고딕"/>
        <family val="2"/>
      </rPr>
      <t xml:space="preserve">확정 목표 </t>
    </r>
    <r>
      <rPr>
        <sz val="10"/>
        <rFont val="맑은 고딕"/>
        <family val="0"/>
        <charset val="1"/>
      </rPr>
      <t xml:space="preserve">1.1  ← </t>
    </r>
    <r>
      <rPr>
        <sz val="10"/>
        <rFont val="맑은 고딕"/>
        <family val="2"/>
      </rPr>
      <t xml:space="preserve">숫자만 입력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단위 제외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</si>
  <si>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맑은 고딕"/>
        <family val="2"/>
      </rPr>
      <t xml:space="preserve">사실</t>
    </r>
    <r>
      <rPr>
        <b val="true"/>
        <sz val="10"/>
        <rFont val="맑은 고딕"/>
        <family val="0"/>
        <charset val="1"/>
      </rPr>
      <t xml:space="preserve">/</t>
    </r>
    <r>
      <rPr>
        <b val="true"/>
        <sz val="10"/>
        <rFont val="맑은 고딕"/>
        <family val="2"/>
      </rPr>
      <t xml:space="preserve">추정 구분</t>
    </r>
  </si>
  <si>
    <r>
      <rPr>
        <sz val="10"/>
        <rFont val="맑은 고딕"/>
        <family val="0"/>
        <charset val="1"/>
      </rPr>
      <t xml:space="preserve">KS </t>
    </r>
    <r>
      <rPr>
        <sz val="10"/>
        <rFont val="맑은 고딕"/>
        <family val="2"/>
      </rPr>
      <t xml:space="preserve">값 </t>
    </r>
    <r>
      <rPr>
        <sz val="10"/>
        <rFont val="맑은 고딕"/>
        <family val="0"/>
        <charset val="1"/>
      </rPr>
      <t xml:space="preserve">= </t>
    </r>
    <r>
      <rPr>
        <sz val="10"/>
        <rFont val="맑은 고딕"/>
        <family val="2"/>
      </rPr>
      <t xml:space="preserve">규격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사실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원문 대조 권장</t>
    </r>
    <r>
      <rPr>
        <sz val="10"/>
        <rFont val="맑은 고딕"/>
        <family val="0"/>
        <charset val="1"/>
      </rPr>
      <t xml:space="preserve">) · </t>
    </r>
    <r>
      <rPr>
        <sz val="10"/>
        <rFont val="맑은 고딕"/>
        <family val="2"/>
      </rPr>
      <t xml:space="preserve">사내 초기값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지식베이스 수치 </t>
    </r>
    <r>
      <rPr>
        <sz val="10"/>
        <rFont val="맑은 고딕"/>
        <family val="0"/>
        <charset val="1"/>
      </rPr>
      <t xml:space="preserve">= </t>
    </r>
    <r>
      <rPr>
        <sz val="10"/>
        <rFont val="맑은 고딕"/>
        <family val="2"/>
      </rPr>
      <t xml:space="preserve">경험칙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추정</t>
    </r>
    <r>
      <rPr>
        <sz val="10"/>
        <rFont val="맑은 고딕"/>
        <family val="0"/>
        <charset val="1"/>
      </rPr>
      <t xml:space="preserve">) · </t>
    </r>
    <r>
      <rPr>
        <sz val="10"/>
        <rFont val="맑은 고딕"/>
        <family val="2"/>
      </rPr>
      <t xml:space="preserve">진단 판정 </t>
    </r>
    <r>
      <rPr>
        <sz val="10"/>
        <rFont val="맑은 고딕"/>
        <family val="0"/>
        <charset val="1"/>
      </rPr>
      <t xml:space="preserve">'</t>
    </r>
    <r>
      <rPr>
        <sz val="10"/>
        <rFont val="맑은 고딕"/>
        <family val="2"/>
      </rPr>
      <t xml:space="preserve">데이터 지지</t>
    </r>
    <r>
      <rPr>
        <sz val="10"/>
        <rFont val="맑은 고딕"/>
        <family val="0"/>
        <charset val="1"/>
      </rPr>
      <t xml:space="preserve">' = </t>
    </r>
    <r>
      <rPr>
        <sz val="10"/>
        <rFont val="맑은 고딕"/>
        <family val="2"/>
      </rPr>
      <t xml:space="preserve">측정 데이터로 확인된 변화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사실</t>
    </r>
    <r>
      <rPr>
        <sz val="10"/>
        <rFont val="맑은 고딕"/>
        <family val="0"/>
        <charset val="1"/>
      </rPr>
      <t xml:space="preserve">)</t>
    </r>
  </si>
  <si>
    <t xml:space="preserve">시트 구성</t>
  </si>
  <si>
    <r>
      <rPr>
        <sz val="10"/>
        <rFont val="맑은 고딕"/>
        <family val="2"/>
      </rPr>
      <t xml:space="preserve">요약 </t>
    </r>
    <r>
      <rPr>
        <sz val="10"/>
        <rFont val="맑은 고딕"/>
        <family val="0"/>
        <charset val="1"/>
      </rPr>
      <t xml:space="preserve">· </t>
    </r>
    <r>
      <rPr>
        <sz val="10"/>
        <rFont val="맑은 고딕"/>
        <family val="2"/>
      </rPr>
      <t xml:space="preserve">관리항목 </t>
    </r>
    <r>
      <rPr>
        <sz val="10"/>
        <rFont val="맑은 고딕"/>
        <family val="0"/>
        <charset val="1"/>
      </rPr>
      <t xml:space="preserve">· </t>
    </r>
    <r>
      <rPr>
        <sz val="10"/>
        <rFont val="맑은 고딕"/>
        <family val="2"/>
      </rPr>
      <t xml:space="preserve">알림규칙 </t>
    </r>
    <r>
      <rPr>
        <sz val="10"/>
        <rFont val="맑은 고딕"/>
        <family val="0"/>
        <charset val="1"/>
      </rPr>
      <t xml:space="preserve">· SPC</t>
    </r>
    <r>
      <rPr>
        <sz val="10"/>
        <rFont val="맑은 고딕"/>
        <family val="2"/>
      </rPr>
      <t xml:space="preserve">판정규칙 </t>
    </r>
    <r>
      <rPr>
        <sz val="10"/>
        <rFont val="맑은 고딕"/>
        <family val="0"/>
        <charset val="1"/>
      </rPr>
      <t xml:space="preserve">· </t>
    </r>
    <r>
      <rPr>
        <sz val="10"/>
        <rFont val="맑은 고딕"/>
        <family val="2"/>
      </rPr>
      <t xml:space="preserve">원인진단</t>
    </r>
    <r>
      <rPr>
        <sz val="10"/>
        <rFont val="맑은 고딕"/>
        <family val="0"/>
        <charset val="1"/>
      </rPr>
      <t xml:space="preserve">_</t>
    </r>
    <r>
      <rPr>
        <sz val="10"/>
        <rFont val="맑은 고딕"/>
        <family val="2"/>
      </rPr>
      <t xml:space="preserve">지식베이스 </t>
    </r>
    <r>
      <rPr>
        <sz val="10"/>
        <rFont val="맑은 고딕"/>
        <family val="0"/>
        <charset val="1"/>
      </rPr>
      <t xml:space="preserve">· </t>
    </r>
    <r>
      <rPr>
        <sz val="10"/>
        <rFont val="맑은 고딕"/>
        <family val="2"/>
      </rPr>
      <t xml:space="preserve">데이터입력</t>
    </r>
    <r>
      <rPr>
        <sz val="10"/>
        <rFont val="맑은 고딕"/>
        <family val="0"/>
        <charset val="1"/>
      </rPr>
      <t xml:space="preserve">_</t>
    </r>
    <r>
      <rPr>
        <sz val="10"/>
        <rFont val="맑은 고딕"/>
        <family val="2"/>
      </rPr>
      <t xml:space="preserve">항목 </t>
    </r>
    <r>
      <rPr>
        <sz val="10"/>
        <rFont val="맑은 고딕"/>
        <family val="0"/>
        <charset val="1"/>
      </rPr>
      <t xml:space="preserve">· KS</t>
    </r>
    <r>
      <rPr>
        <sz val="10"/>
        <rFont val="맑은 고딕"/>
        <family val="2"/>
      </rPr>
      <t xml:space="preserve">규격</t>
    </r>
    <r>
      <rPr>
        <sz val="10"/>
        <rFont val="맑은 고딕"/>
        <family val="0"/>
        <charset val="1"/>
      </rPr>
      <t xml:space="preserve">_</t>
    </r>
    <r>
      <rPr>
        <sz val="10"/>
        <rFont val="맑은 고딕"/>
        <family val="2"/>
      </rPr>
      <t xml:space="preserve">근거 </t>
    </r>
    <r>
      <rPr>
        <sz val="10"/>
        <rFont val="맑은 고딕"/>
        <family val="0"/>
        <charset val="1"/>
      </rPr>
      <t xml:space="preserve">· </t>
    </r>
    <r>
      <rPr>
        <sz val="10"/>
        <rFont val="맑은 고딕"/>
        <family val="2"/>
      </rPr>
      <t xml:space="preserve">구축로드맵</t>
    </r>
  </si>
  <si>
    <r>
      <rPr>
        <b val="true"/>
        <sz val="13"/>
        <rFont val="맑은 고딕"/>
        <family val="2"/>
      </rPr>
      <t xml:space="preserve">관리항목 요약 — 공정별 현황 </t>
    </r>
    <r>
      <rPr>
        <b val="true"/>
        <sz val="13"/>
        <rFont val="맑은 고딕"/>
        <family val="0"/>
        <charset val="1"/>
      </rPr>
      <t xml:space="preserve">(</t>
    </r>
    <r>
      <rPr>
        <b val="true"/>
        <sz val="13"/>
        <rFont val="맑은 고딕"/>
        <family val="2"/>
      </rPr>
      <t xml:space="preserve">수식으로 </t>
    </r>
    <r>
      <rPr>
        <b val="true"/>
        <sz val="13"/>
        <rFont val="맑은 고딕"/>
        <family val="0"/>
        <charset val="1"/>
      </rPr>
      <t xml:space="preserve">'</t>
    </r>
    <r>
      <rPr>
        <b val="true"/>
        <sz val="13"/>
        <rFont val="맑은 고딕"/>
        <family val="2"/>
      </rPr>
      <t xml:space="preserve">관리항목</t>
    </r>
    <r>
      <rPr>
        <b val="true"/>
        <sz val="13"/>
        <rFont val="맑은 고딕"/>
        <family val="0"/>
        <charset val="1"/>
      </rPr>
      <t xml:space="preserve">' </t>
    </r>
    <r>
      <rPr>
        <b val="true"/>
        <sz val="13"/>
        <rFont val="맑은 고딕"/>
        <family val="2"/>
      </rPr>
      <t xml:space="preserve">시트에서 자동 집계</t>
    </r>
    <r>
      <rPr>
        <b val="true"/>
        <sz val="13"/>
        <rFont val="맑은 고딕"/>
        <family val="0"/>
        <charset val="1"/>
      </rPr>
      <t xml:space="preserve">)</t>
    </r>
  </si>
  <si>
    <t xml:space="preserve">공정</t>
  </si>
  <si>
    <r>
      <rPr>
        <b val="true"/>
        <sz val="10"/>
        <color rgb="FFFFFFFF"/>
        <rFont val="맑은 고딕"/>
        <family val="2"/>
      </rPr>
      <t xml:space="preserve">관리항목 수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맑은 고딕"/>
        <family val="2"/>
      </rPr>
      <t xml:space="preserve">행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</si>
  <si>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KS </t>
    </r>
    <r>
      <rPr>
        <b val="true"/>
        <sz val="10"/>
        <color rgb="FFFFFFFF"/>
        <rFont val="맑은 고딕"/>
        <family val="2"/>
      </rPr>
      <t xml:space="preserve">기준 보유</t>
    </r>
  </si>
  <si>
    <t xml:space="preserve">핵심관리항목</t>
  </si>
  <si>
    <r>
      <rPr>
        <b val="true"/>
        <sz val="10"/>
        <color rgb="FFFFFFFF"/>
        <rFont val="맑은 고딕"/>
        <family val="0"/>
        <charset val="1"/>
      </rPr>
      <t xml:space="preserve">SPC </t>
    </r>
    <r>
      <rPr>
        <b val="true"/>
        <sz val="10"/>
        <color rgb="FFFFFFFF"/>
        <rFont val="맑은 고딕"/>
        <family val="2"/>
      </rPr>
      <t xml:space="preserve">적용</t>
    </r>
  </si>
  <si>
    <t xml:space="preserve">확정값 입력 완료</t>
  </si>
  <si>
    <t xml:space="preserve">확정 진행률</t>
  </si>
  <si>
    <r>
      <rPr>
        <b val="true"/>
        <sz val="10"/>
        <rFont val="맑은 고딕"/>
        <family val="2"/>
      </rPr>
      <t xml:space="preserve">원료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맑은 고딕"/>
        <family val="2"/>
      </rPr>
      <t xml:space="preserve">생료</t>
    </r>
    <r>
      <rPr>
        <b val="true"/>
        <sz val="10"/>
        <rFont val="맑은 고딕"/>
        <family val="0"/>
        <charset val="1"/>
      </rPr>
      <t xml:space="preserve">)</t>
    </r>
  </si>
  <si>
    <r>
      <rPr>
        <b val="true"/>
        <sz val="10"/>
        <rFont val="맑은 고딕"/>
        <family val="2"/>
      </rPr>
      <t xml:space="preserve">소성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맑은 고딕"/>
        <family val="2"/>
      </rPr>
      <t xml:space="preserve">킬른</t>
    </r>
    <r>
      <rPr>
        <b val="true"/>
        <sz val="10"/>
        <rFont val="맑은 고딕"/>
        <family val="0"/>
        <charset val="1"/>
      </rPr>
      <t xml:space="preserve">)</t>
    </r>
  </si>
  <si>
    <t xml:space="preserve">클링커</t>
  </si>
  <si>
    <r>
      <rPr>
        <b val="true"/>
        <sz val="10"/>
        <rFont val="맑은 고딕"/>
        <family val="2"/>
      </rPr>
      <t xml:space="preserve">시멘트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맑은 고딕"/>
        <family val="2"/>
      </rPr>
      <t xml:space="preserve">분쇄</t>
    </r>
    <r>
      <rPr>
        <b val="true"/>
        <sz val="10"/>
        <rFont val="맑은 고딕"/>
        <family val="0"/>
        <charset val="1"/>
      </rPr>
      <t xml:space="preserve">)</t>
    </r>
  </si>
  <si>
    <t xml:space="preserve">제품 물성</t>
  </si>
  <si>
    <t xml:space="preserve">시험 조건</t>
  </si>
  <si>
    <t xml:space="preserve">합계</t>
  </si>
  <si>
    <r>
      <rPr>
        <sz val="10"/>
        <color rgb="FF5F6B73"/>
        <rFont val="맑은 고딕"/>
        <family val="0"/>
        <charset val="1"/>
      </rPr>
      <t xml:space="preserve">※ '</t>
    </r>
    <r>
      <rPr>
        <sz val="10"/>
        <color rgb="FF5F6B73"/>
        <rFont val="맑은 고딕"/>
        <family val="2"/>
      </rPr>
      <t xml:space="preserve">관리항목 수</t>
    </r>
    <r>
      <rPr>
        <sz val="10"/>
        <color rgb="FF5F6B73"/>
        <rFont val="맑은 고딕"/>
        <family val="0"/>
        <charset val="1"/>
      </rPr>
      <t xml:space="preserve">(</t>
    </r>
    <r>
      <rPr>
        <sz val="10"/>
        <color rgb="FF5F6B73"/>
        <rFont val="맑은 고딕"/>
        <family val="2"/>
      </rPr>
      <t xml:space="preserve">행</t>
    </r>
    <r>
      <rPr>
        <sz val="10"/>
        <color rgb="FF5F6B73"/>
        <rFont val="맑은 고딕"/>
        <family val="0"/>
        <charset val="1"/>
      </rPr>
      <t xml:space="preserve">)'</t>
    </r>
    <r>
      <rPr>
        <sz val="10"/>
        <color rgb="FF5F6B73"/>
        <rFont val="맑은 고딕"/>
        <family val="2"/>
      </rPr>
      <t xml:space="preserve">은 품종별 기준을 따로 세므로 항목 수보다 많을 수 있음</t>
    </r>
    <r>
      <rPr>
        <sz val="10"/>
        <color rgb="FF5F6B73"/>
        <rFont val="맑은 고딕"/>
        <family val="0"/>
        <charset val="1"/>
      </rPr>
      <t xml:space="preserve">. KS </t>
    </r>
    <r>
      <rPr>
        <sz val="10"/>
        <color rgb="FF5F6B73"/>
        <rFont val="맑은 고딕"/>
        <family val="2"/>
      </rPr>
      <t xml:space="preserve">기준 보유 </t>
    </r>
    <r>
      <rPr>
        <sz val="10"/>
        <color rgb="FF5F6B73"/>
        <rFont val="맑은 고딕"/>
        <family val="0"/>
        <charset val="1"/>
      </rPr>
      <t xml:space="preserve">= KS </t>
    </r>
    <r>
      <rPr>
        <sz val="10"/>
        <color rgb="FF5F6B73"/>
        <rFont val="맑은 고딕"/>
        <family val="2"/>
      </rPr>
      <t xml:space="preserve">하한 또는 상한이 있는 행</t>
    </r>
    <r>
      <rPr>
        <sz val="10"/>
        <color rgb="FF5F6B73"/>
        <rFont val="맑은 고딕"/>
        <family val="0"/>
        <charset val="1"/>
      </rPr>
      <t xml:space="preserve">.</t>
    </r>
  </si>
  <si>
    <t xml:space="preserve">No</t>
  </si>
  <si>
    <t xml:space="preserve">코드</t>
  </si>
  <si>
    <t xml:space="preserve">항목</t>
  </si>
  <si>
    <t xml:space="preserve">단위</t>
  </si>
  <si>
    <t xml:space="preserve">측정 주기</t>
  </si>
  <si>
    <t xml:space="preserve">데이터 출처</t>
  </si>
  <si>
    <t xml:space="preserve">시험방법</t>
  </si>
  <si>
    <t xml:space="preserve">품종</t>
  </si>
  <si>
    <r>
      <rPr>
        <b val="true"/>
        <sz val="10"/>
        <color rgb="FFFFFFFF"/>
        <rFont val="맑은 고딕"/>
        <family val="0"/>
        <charset val="1"/>
      </rPr>
      <t xml:space="preserve">KS </t>
    </r>
    <r>
      <rPr>
        <b val="true"/>
        <sz val="10"/>
        <color rgb="FFFFFFFF"/>
        <rFont val="맑은 고딕"/>
        <family val="2"/>
      </rPr>
      <t xml:space="preserve">하한</t>
    </r>
  </si>
  <si>
    <r>
      <rPr>
        <b val="true"/>
        <sz val="10"/>
        <color rgb="FFFFFFFF"/>
        <rFont val="맑은 고딕"/>
        <family val="0"/>
        <charset val="1"/>
      </rPr>
      <t xml:space="preserve">KS </t>
    </r>
    <r>
      <rPr>
        <b val="true"/>
        <sz val="10"/>
        <color rgb="FFFFFFFF"/>
        <rFont val="맑은 고딕"/>
        <family val="2"/>
      </rPr>
      <t xml:space="preserve">상한</t>
    </r>
  </si>
  <si>
    <r>
      <rPr>
        <b val="true"/>
        <sz val="10"/>
        <color rgb="FFFFFFFF"/>
        <rFont val="맑은 고딕"/>
        <family val="0"/>
        <charset val="1"/>
      </rPr>
      <t xml:space="preserve">KS </t>
    </r>
    <r>
      <rPr>
        <b val="true"/>
        <sz val="10"/>
        <color rgb="FFFFFFFF"/>
        <rFont val="맑은 고딕"/>
        <family val="2"/>
      </rPr>
      <t xml:space="preserve">근거</t>
    </r>
  </si>
  <si>
    <r>
      <rPr>
        <b val="true"/>
        <sz val="10"/>
        <color rgb="FFFFFFFF"/>
        <rFont val="맑은 고딕"/>
        <family val="2"/>
      </rPr>
      <t xml:space="preserve">사내 하한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맑은 고딕"/>
        <family val="2"/>
      </rPr>
      <t xml:space="preserve">초기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</si>
  <si>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2"/>
      </rPr>
      <t xml:space="preserve">사내 상한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맑은 고딕"/>
        <family val="2"/>
      </rPr>
      <t xml:space="preserve">초기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</si>
  <si>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2"/>
      </rPr>
      <t xml:space="preserve">목표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맑은 고딕"/>
        <family val="2"/>
      </rPr>
      <t xml:space="preserve">초기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</si>
  <si>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초기값 근거</t>
  </si>
  <si>
    <r>
      <rPr>
        <b val="true"/>
        <sz val="10"/>
        <color rgb="FFFFFFFF"/>
        <rFont val="맑은 고딕"/>
        <family val="2"/>
      </rPr>
      <t xml:space="preserve">사내 하한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맑은 고딕"/>
        <family val="2"/>
      </rPr>
      <t xml:space="preserve">확정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</si>
  <si>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2"/>
      </rPr>
      <t xml:space="preserve">사내 상한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맑은 고딕"/>
        <family val="2"/>
      </rPr>
      <t xml:space="preserve">확정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</si>
  <si>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2"/>
      </rPr>
      <t xml:space="preserve">목표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맑은 고딕"/>
        <family val="2"/>
      </rPr>
      <t xml:space="preserve">확정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</si>
  <si>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SPC </t>
    </r>
    <r>
      <rPr>
        <b val="true"/>
        <sz val="10"/>
        <color rgb="FFFFFFFF"/>
        <rFont val="맑은 고딕"/>
        <family val="2"/>
      </rPr>
      <t xml:space="preserve">판정규칙</t>
    </r>
  </si>
  <si>
    <t xml:space="preserve">핵심관리</t>
  </si>
  <si>
    <t xml:space="preserve">설명</t>
  </si>
  <si>
    <r>
      <rPr>
        <sz val="10"/>
        <rFont val="맑은 고딕"/>
        <family val="2"/>
      </rPr>
      <t xml:space="preserve">원료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생료</t>
    </r>
    <r>
      <rPr>
        <sz val="10"/>
        <rFont val="맑은 고딕"/>
        <family val="0"/>
        <charset val="1"/>
      </rPr>
      <t xml:space="preserve">)</t>
    </r>
  </si>
  <si>
    <t xml:space="preserve">rm_cao</t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</si>
  <si>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CaO</t>
    </r>
  </si>
  <si>
    <t xml:space="preserve">%</t>
  </si>
  <si>
    <r>
      <rPr>
        <sz val="10"/>
        <rFont val="맑은 고딕"/>
        <family val="0"/>
        <charset val="1"/>
      </rPr>
      <t xml:space="preserve">2</t>
    </r>
    <r>
      <rPr>
        <sz val="10"/>
        <rFont val="맑은 고딕"/>
        <family val="2"/>
      </rPr>
      <t xml:space="preserve">시간</t>
    </r>
  </si>
  <si>
    <r>
      <rPr>
        <sz val="10"/>
        <rFont val="맑은 고딕"/>
        <family val="0"/>
        <charset val="1"/>
      </rPr>
      <t xml:space="preserve">XRF(</t>
    </r>
    <r>
      <rPr>
        <sz val="10"/>
        <rFont val="맑은 고딕"/>
        <family val="2"/>
      </rPr>
      <t xml:space="preserve">시험실</t>
    </r>
    <r>
      <rPr>
        <sz val="10"/>
        <rFont val="맑은 고딕"/>
        <family val="0"/>
        <charset val="1"/>
      </rPr>
      <t xml:space="preserve">/</t>
    </r>
    <r>
      <rPr>
        <sz val="10"/>
        <rFont val="맑은 고딕"/>
        <family val="2"/>
      </rPr>
      <t xml:space="preserve">온라인</t>
    </r>
    <r>
      <rPr>
        <sz val="10"/>
        <rFont val="맑은 고딕"/>
        <family val="0"/>
        <charset val="1"/>
      </rPr>
      <t xml:space="preserve">)·</t>
    </r>
    <r>
      <rPr>
        <sz val="10"/>
        <rFont val="맑은 고딕"/>
        <family val="2"/>
      </rPr>
      <t xml:space="preserve">잔사 시험</t>
    </r>
  </si>
  <si>
    <t xml:space="preserve">-</t>
  </si>
  <si>
    <t xml:space="preserve">전 품종</t>
  </si>
  <si>
    <r>
      <rPr>
        <sz val="10"/>
        <rFont val="맑은 고딕"/>
        <family val="2"/>
      </rPr>
      <t xml:space="preserve">모니터링 항목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기준 미설정</t>
    </r>
    <r>
      <rPr>
        <sz val="10"/>
        <rFont val="맑은 고딕"/>
        <family val="0"/>
        <charset val="1"/>
      </rPr>
      <t xml:space="preserve">)</t>
    </r>
  </si>
  <si>
    <t xml:space="preserve">rm_sio2</t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</si>
  <si>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SiO₂</t>
    </r>
  </si>
  <si>
    <t xml:space="preserve">rm_al2o3</t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</si>
  <si>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Al₂O₃</t>
    </r>
  </si>
  <si>
    <t xml:space="preserve">rm_fe2o3</t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</si>
  <si>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Fe₂O₃</t>
    </r>
  </si>
  <si>
    <t xml:space="preserve">rm_so3</t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</si>
  <si>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SO₃</t>
    </r>
  </si>
  <si>
    <t xml:space="preserve">rm_k2o</t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</si>
  <si>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K₂O</t>
    </r>
  </si>
  <si>
    <t xml:space="preserve">rm_na2o</t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</si>
  <si>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Na₂O</t>
    </r>
  </si>
  <si>
    <t xml:space="preserve">rm_mgo</t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</si>
  <si>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MgO</t>
    </r>
  </si>
  <si>
    <t xml:space="preserve">경험칙 초기값 — 공장 기준으로 교체 필요</t>
  </si>
  <si>
    <t xml:space="preserve">R1</t>
  </si>
  <si>
    <r>
      <rPr>
        <sz val="10"/>
        <rFont val="맑은 고딕"/>
        <family val="2"/>
      </rPr>
      <t xml:space="preserve">석회석 내 백운석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돌로마이트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혼입 지표</t>
    </r>
    <r>
      <rPr>
        <sz val="10"/>
        <rFont val="맑은 고딕"/>
        <family val="0"/>
        <charset val="1"/>
      </rPr>
      <t xml:space="preserve">. </t>
    </r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MgO≈</t>
    </r>
    <r>
      <rPr>
        <sz val="10"/>
        <rFont val="맑은 고딕"/>
        <family val="2"/>
      </rPr>
      <t xml:space="preserve">생료</t>
    </r>
    <r>
      <rPr>
        <sz val="10"/>
        <rFont val="맑은 고딕"/>
        <family val="0"/>
        <charset val="1"/>
      </rPr>
      <t xml:space="preserve">×1.55</t>
    </r>
  </si>
  <si>
    <t xml:space="preserve">rm_lsf</t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</si>
  <si>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LSF</t>
    </r>
  </si>
  <si>
    <t xml:space="preserve">R1, R2, R3, R5, R6</t>
  </si>
  <si>
    <t xml:space="preserve">●</t>
  </si>
  <si>
    <r>
      <rPr>
        <sz val="10"/>
        <rFont val="맑은 고딕"/>
        <family val="2"/>
      </rPr>
      <t xml:space="preserve">석탄회 흡수로 클링커 </t>
    </r>
    <r>
      <rPr>
        <sz val="10"/>
        <rFont val="맑은 고딕"/>
        <family val="0"/>
        <charset val="1"/>
      </rPr>
      <t xml:space="preserve">LSF</t>
    </r>
    <r>
      <rPr>
        <sz val="10"/>
        <rFont val="맑은 고딕"/>
        <family val="2"/>
      </rPr>
      <t xml:space="preserve">는 생료보다 약 </t>
    </r>
    <r>
      <rPr>
        <sz val="10"/>
        <rFont val="맑은 고딕"/>
        <family val="0"/>
        <charset val="1"/>
      </rPr>
      <t xml:space="preserve">3~4 </t>
    </r>
    <r>
      <rPr>
        <sz val="10"/>
        <rFont val="맑은 고딕"/>
        <family val="2"/>
      </rPr>
      <t xml:space="preserve">낮아짐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공장별 상이</t>
    </r>
    <r>
      <rPr>
        <sz val="10"/>
        <rFont val="맑은 고딕"/>
        <family val="0"/>
        <charset val="1"/>
      </rPr>
      <t xml:space="preserve">)</t>
    </r>
  </si>
  <si>
    <t xml:space="preserve">rm_sm</t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</si>
  <si>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SM</t>
    </r>
  </si>
  <si>
    <t xml:space="preserve">rm_im</t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</si>
  <si>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IM</t>
    </r>
  </si>
  <si>
    <t xml:space="preserve">rm_r90</t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</si>
  <si>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90μm </t>
    </r>
    <r>
      <rPr>
        <sz val="10"/>
        <rFont val="맑은 고딕"/>
        <family val="2"/>
      </rPr>
      <t xml:space="preserve">잔사</t>
    </r>
  </si>
  <si>
    <r>
      <rPr>
        <sz val="10"/>
        <rFont val="맑은 고딕"/>
        <family val="2"/>
      </rPr>
      <t xml:space="preserve">조대 석영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방해석 입자 → 소성성 저하</t>
    </r>
    <r>
      <rPr>
        <sz val="10"/>
        <rFont val="맑은 고딕"/>
        <family val="0"/>
        <charset val="1"/>
      </rPr>
      <t xml:space="preserve">, f-CaO </t>
    </r>
    <r>
      <rPr>
        <sz val="10"/>
        <rFont val="맑은 고딕"/>
        <family val="2"/>
      </rPr>
      <t xml:space="preserve">상승</t>
    </r>
  </si>
  <si>
    <t xml:space="preserve">rm_r200</t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</si>
  <si>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200μm </t>
    </r>
    <r>
      <rPr>
        <sz val="10"/>
        <rFont val="맑은 고딕"/>
        <family val="2"/>
      </rPr>
      <t xml:space="preserve">잔사</t>
    </r>
  </si>
  <si>
    <t xml:space="preserve">rm_loi</t>
  </si>
  <si>
    <t xml:space="preserve">생료 강열감량</t>
  </si>
  <si>
    <r>
      <rPr>
        <sz val="10"/>
        <rFont val="맑은 고딕"/>
        <family val="0"/>
        <charset val="1"/>
      </rPr>
      <t xml:space="preserve">KS L 5120(</t>
    </r>
    <r>
      <rPr>
        <sz val="10"/>
        <rFont val="맑은 고딕"/>
        <family val="2"/>
      </rPr>
      <t xml:space="preserve">강열감량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</si>
  <si>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미측정 시 </t>
    </r>
    <r>
      <rPr>
        <sz val="10"/>
        <rFont val="맑은 고딕"/>
        <family val="0"/>
        <charset val="1"/>
      </rPr>
      <t xml:space="preserve">CO₂ </t>
    </r>
    <r>
      <rPr>
        <sz val="10"/>
        <rFont val="맑은 고딕"/>
        <family val="2"/>
      </rPr>
      <t xml:space="preserve">화학양론</t>
    </r>
    <r>
      <rPr>
        <sz val="10"/>
        <rFont val="맑은 고딕"/>
        <family val="0"/>
        <charset val="1"/>
      </rPr>
      <t xml:space="preserve">(0.785·CaO + 1.092·MgO)</t>
    </r>
    <r>
      <rPr>
        <sz val="10"/>
        <rFont val="맑은 고딕"/>
        <family val="2"/>
      </rPr>
      <t xml:space="preserve">으로 추정해 클링커 예측에 사용</t>
    </r>
  </si>
  <si>
    <r>
      <rPr>
        <sz val="10"/>
        <rFont val="맑은 고딕"/>
        <family val="2"/>
      </rPr>
      <t xml:space="preserve">소성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킬른</t>
    </r>
    <r>
      <rPr>
        <sz val="10"/>
        <rFont val="맑은 고딕"/>
        <family val="0"/>
        <charset val="1"/>
      </rPr>
      <t xml:space="preserve">)</t>
    </r>
  </si>
  <si>
    <t xml:space="preserve">kiln_feed</t>
  </si>
  <si>
    <t xml:space="preserve">원료 투입량</t>
  </si>
  <si>
    <t xml:space="preserve">t/h</t>
  </si>
  <si>
    <r>
      <rPr>
        <sz val="10"/>
        <rFont val="맑은 고딕"/>
        <family val="0"/>
        <charset val="1"/>
      </rPr>
      <t xml:space="preserve">1</t>
    </r>
    <r>
      <rPr>
        <sz val="10"/>
        <rFont val="맑은 고딕"/>
        <family val="2"/>
      </rPr>
      <t xml:space="preserve">시간</t>
    </r>
  </si>
  <si>
    <r>
      <rPr>
        <sz val="10"/>
        <rFont val="맑은 고딕"/>
        <family val="0"/>
        <charset val="1"/>
      </rPr>
      <t xml:space="preserve">DCS(</t>
    </r>
    <r>
      <rPr>
        <sz val="10"/>
        <rFont val="맑은 고딕"/>
        <family val="2"/>
      </rPr>
      <t xml:space="preserve">킬른 운전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</si>
  <si>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운전 변수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기준 미설정</t>
    </r>
    <r>
      <rPr>
        <sz val="10"/>
        <rFont val="맑은 고딕"/>
        <family val="0"/>
        <charset val="1"/>
      </rPr>
      <t xml:space="preserve">)</t>
    </r>
  </si>
  <si>
    <t xml:space="preserve">coal_rate</t>
  </si>
  <si>
    <t xml:space="preserve">석탄 투입량</t>
  </si>
  <si>
    <t xml:space="preserve">kiln_bzt</t>
  </si>
  <si>
    <r>
      <rPr>
        <sz val="10"/>
        <rFont val="맑은 고딕"/>
        <family val="2"/>
      </rPr>
      <t xml:space="preserve">소성대 온도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파이로미터</t>
    </r>
    <r>
      <rPr>
        <sz val="10"/>
        <rFont val="맑은 고딕"/>
        <family val="0"/>
        <charset val="1"/>
      </rPr>
      <t xml:space="preserve">)</t>
    </r>
  </si>
  <si>
    <t xml:space="preserve">℃</t>
  </si>
  <si>
    <r>
      <rPr>
        <sz val="10"/>
        <rFont val="맑은 고딕"/>
        <family val="2"/>
      </rPr>
      <t xml:space="preserve">측정 위치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방사율 설정에 따라 절대값이 공장마다 다름</t>
    </r>
  </si>
  <si>
    <t xml:space="preserve">kiln_o2</t>
  </si>
  <si>
    <r>
      <rPr>
        <sz val="10"/>
        <rFont val="맑은 고딕"/>
        <family val="2"/>
      </rPr>
      <t xml:space="preserve">킬른 입구 </t>
    </r>
    <r>
      <rPr>
        <sz val="10"/>
        <rFont val="맑은 고딕"/>
        <family val="0"/>
        <charset val="1"/>
      </rPr>
      <t xml:space="preserve">O₂</t>
    </r>
  </si>
  <si>
    <t xml:space="preserve">kiln_co</t>
  </si>
  <si>
    <r>
      <rPr>
        <sz val="10"/>
        <rFont val="맑은 고딕"/>
        <family val="2"/>
      </rPr>
      <t xml:space="preserve">킬른 입구 </t>
    </r>
    <r>
      <rPr>
        <sz val="10"/>
        <rFont val="맑은 고딕"/>
        <family val="0"/>
        <charset val="1"/>
      </rPr>
      <t xml:space="preserve">CO</t>
    </r>
  </si>
  <si>
    <r>
      <rPr>
        <sz val="10"/>
        <rFont val="맑은 고딕"/>
        <family val="2"/>
      </rPr>
      <t xml:space="preserve">환원 분위기 지표</t>
    </r>
    <r>
      <rPr>
        <sz val="10"/>
        <rFont val="맑은 고딕"/>
        <family val="0"/>
        <charset val="1"/>
      </rPr>
      <t xml:space="preserve">. </t>
    </r>
    <r>
      <rPr>
        <sz val="10"/>
        <rFont val="맑은 고딕"/>
        <family val="2"/>
      </rPr>
      <t xml:space="preserve">클링커 품질 저하</t>
    </r>
    <r>
      <rPr>
        <sz val="10"/>
        <rFont val="맑은 고딕"/>
        <family val="0"/>
        <charset val="1"/>
      </rPr>
      <t xml:space="preserve">·SO₃ </t>
    </r>
    <r>
      <rPr>
        <sz val="10"/>
        <rFont val="맑은 고딕"/>
        <family val="2"/>
      </rPr>
      <t xml:space="preserve">휘발</t>
    </r>
    <r>
      <rPr>
        <sz val="10"/>
        <rFont val="맑은 고딕"/>
        <family val="0"/>
        <charset val="1"/>
      </rPr>
      <t xml:space="preserve">·EP CO </t>
    </r>
    <r>
      <rPr>
        <sz val="10"/>
        <rFont val="맑은 고딕"/>
        <family val="2"/>
      </rPr>
      <t xml:space="preserve">트립 위험</t>
    </r>
  </si>
  <si>
    <t xml:space="preserve">kiln_torque</t>
  </si>
  <si>
    <t xml:space="preserve">킬른 주모터 부하</t>
  </si>
  <si>
    <r>
      <rPr>
        <sz val="10"/>
        <rFont val="맑은 고딕"/>
        <family val="2"/>
      </rPr>
      <t xml:space="preserve">소성 상태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코팅 상태의 간접 지표</t>
    </r>
  </si>
  <si>
    <t xml:space="preserve">kiln_calc_temp</t>
  </si>
  <si>
    <t xml:space="preserve">하소로 출구 온도</t>
  </si>
  <si>
    <t xml:space="preserve">kiln_sec_air</t>
  </si>
  <si>
    <r>
      <rPr>
        <sz val="10"/>
        <rFont val="맑은 고딕"/>
        <family val="0"/>
        <charset val="1"/>
      </rPr>
      <t xml:space="preserve">2</t>
    </r>
    <r>
      <rPr>
        <sz val="10"/>
        <rFont val="맑은 고딕"/>
        <family val="2"/>
      </rPr>
      <t xml:space="preserve">차 공기 온도</t>
    </r>
  </si>
  <si>
    <t xml:space="preserve">clk_cao</t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</si>
  <si>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CaO</t>
    </r>
  </si>
  <si>
    <r>
      <rPr>
        <sz val="10"/>
        <rFont val="맑은 고딕"/>
        <family val="0"/>
        <charset val="1"/>
      </rPr>
      <t xml:space="preserve">XRF·f-CaO·</t>
    </r>
    <r>
      <rPr>
        <sz val="10"/>
        <rFont val="맑은 고딕"/>
        <family val="2"/>
      </rPr>
      <t xml:space="preserve">리터중량 시험</t>
    </r>
  </si>
  <si>
    <t xml:space="preserve">clk_sio2</t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</si>
  <si>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SiO₂</t>
    </r>
  </si>
  <si>
    <t xml:space="preserve">clk_al2o3</t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</si>
  <si>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Al₂O₃</t>
    </r>
  </si>
  <si>
    <t xml:space="preserve">clk_fe2o3</t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</si>
  <si>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Fe₂O₃</t>
    </r>
  </si>
  <si>
    <t xml:space="preserve">clk_so3</t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</si>
  <si>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SO₃</t>
    </r>
  </si>
  <si>
    <t xml:space="preserve">clk_k2o</t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</si>
  <si>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K₂O</t>
    </r>
  </si>
  <si>
    <t xml:space="preserve">clk_na2o</t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</si>
  <si>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Na₂O</t>
    </r>
  </si>
  <si>
    <t xml:space="preserve">clk_c2s</t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</si>
  <si>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C₂S</t>
    </r>
  </si>
  <si>
    <t xml:space="preserve">clk_c4af</t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</si>
  <si>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C₄AF</t>
    </r>
  </si>
  <si>
    <t xml:space="preserve">clk_mgo</t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</si>
  <si>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MgO</t>
    </r>
  </si>
  <si>
    <r>
      <rPr>
        <sz val="10"/>
        <rFont val="맑은 고딕"/>
        <family val="0"/>
        <charset val="1"/>
      </rPr>
      <t xml:space="preserve">KS </t>
    </r>
    <r>
      <rPr>
        <sz val="10"/>
        <rFont val="맑은 고딕"/>
        <family val="2"/>
      </rPr>
      <t xml:space="preserve">시멘트 </t>
    </r>
    <r>
      <rPr>
        <sz val="10"/>
        <rFont val="맑은 고딕"/>
        <family val="0"/>
        <charset val="1"/>
      </rPr>
      <t xml:space="preserve">MgO 5.0% </t>
    </r>
    <r>
      <rPr>
        <sz val="10"/>
        <rFont val="맑은 고딕"/>
        <family val="2"/>
      </rPr>
      <t xml:space="preserve">이하 대응</t>
    </r>
    <r>
      <rPr>
        <sz val="10"/>
        <rFont val="맑은 고딕"/>
        <family val="0"/>
        <charset val="1"/>
      </rPr>
      <t xml:space="preserve">. </t>
    </r>
    <r>
      <rPr>
        <sz val="10"/>
        <rFont val="맑은 고딕"/>
        <family val="2"/>
      </rPr>
      <t xml:space="preserve">페리클레이스 → 안정도 불량</t>
    </r>
  </si>
  <si>
    <t xml:space="preserve">clk_fcao</t>
  </si>
  <si>
    <r>
      <rPr>
        <sz val="10"/>
        <rFont val="맑은 고딕"/>
        <family val="2"/>
      </rPr>
      <t xml:space="preserve">클링커 자유석회</t>
    </r>
    <r>
      <rPr>
        <sz val="10"/>
        <rFont val="맑은 고딕"/>
        <family val="0"/>
        <charset val="1"/>
      </rPr>
      <t xml:space="preserve">(f-CaO)</t>
    </r>
  </si>
  <si>
    <r>
      <rPr>
        <sz val="10"/>
        <rFont val="맑은 고딕"/>
        <family val="2"/>
      </rPr>
      <t xml:space="preserve">소성 상태의 핵심 지표</t>
    </r>
    <r>
      <rPr>
        <sz val="10"/>
        <rFont val="맑은 고딕"/>
        <family val="0"/>
        <charset val="1"/>
      </rPr>
      <t xml:space="preserve">. </t>
    </r>
    <r>
      <rPr>
        <sz val="10"/>
        <rFont val="맑은 고딕"/>
        <family val="2"/>
      </rPr>
      <t xml:space="preserve">과고</t>
    </r>
    <r>
      <rPr>
        <sz val="10"/>
        <rFont val="맑은 고딕"/>
        <family val="0"/>
        <charset val="1"/>
      </rPr>
      <t xml:space="preserve">=</t>
    </r>
    <r>
      <rPr>
        <sz val="10"/>
        <rFont val="맑은 고딕"/>
        <family val="2"/>
      </rPr>
      <t xml:space="preserve">소성 부족</t>
    </r>
    <r>
      <rPr>
        <sz val="10"/>
        <rFont val="맑은 고딕"/>
        <family val="0"/>
        <charset val="1"/>
      </rPr>
      <t xml:space="preserve">/LSF </t>
    </r>
    <r>
      <rPr>
        <sz val="10"/>
        <rFont val="맑은 고딕"/>
        <family val="2"/>
      </rPr>
      <t xml:space="preserve">과다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과저</t>
    </r>
    <r>
      <rPr>
        <sz val="10"/>
        <rFont val="맑은 고딕"/>
        <family val="0"/>
        <charset val="1"/>
      </rPr>
      <t xml:space="preserve">=</t>
    </r>
    <r>
      <rPr>
        <sz val="10"/>
        <rFont val="맑은 고딕"/>
        <family val="2"/>
      </rPr>
      <t xml:space="preserve">과소성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연료 낭비</t>
    </r>
    <r>
      <rPr>
        <sz val="10"/>
        <rFont val="맑은 고딕"/>
        <family val="0"/>
        <charset val="1"/>
      </rPr>
      <t xml:space="preserve">)</t>
    </r>
  </si>
  <si>
    <t xml:space="preserve">clk_lw</t>
  </si>
  <si>
    <t xml:space="preserve">클링커 리터중량</t>
  </si>
  <si>
    <t xml:space="preserve">g/L</t>
  </si>
  <si>
    <r>
      <rPr>
        <sz val="10"/>
        <rFont val="맑은 고딕"/>
        <family val="2"/>
      </rPr>
      <t xml:space="preserve">소성도 지표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측정 입도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방법에 따라 절대값 상이</t>
    </r>
    <r>
      <rPr>
        <sz val="10"/>
        <rFont val="맑은 고딕"/>
        <family val="0"/>
        <charset val="1"/>
      </rPr>
      <t xml:space="preserve">)</t>
    </r>
  </si>
  <si>
    <t xml:space="preserve">clk_lsf</t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</si>
  <si>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LSF</t>
    </r>
  </si>
  <si>
    <t xml:space="preserve">clk_sm</t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</si>
  <si>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SM</t>
    </r>
  </si>
  <si>
    <t xml:space="preserve">clk_im</t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</si>
  <si>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IM</t>
    </r>
  </si>
  <si>
    <t xml:space="preserve">clk_c3s</t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</si>
  <si>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C₃S(Bogue)</t>
    </r>
  </si>
  <si>
    <r>
      <rPr>
        <sz val="10"/>
        <rFont val="맑은 고딕"/>
        <family val="0"/>
        <charset val="1"/>
      </rPr>
      <t xml:space="preserve">28</t>
    </r>
    <r>
      <rPr>
        <sz val="10"/>
        <rFont val="맑은 고딕"/>
        <family val="2"/>
      </rPr>
      <t xml:space="preserve">일 강도의 주 기여 광물</t>
    </r>
    <r>
      <rPr>
        <sz val="10"/>
        <rFont val="맑은 고딕"/>
        <family val="0"/>
        <charset val="1"/>
      </rPr>
      <t xml:space="preserve">. Bogue </t>
    </r>
    <r>
      <rPr>
        <sz val="10"/>
        <rFont val="맑은 고딕"/>
        <family val="2"/>
      </rPr>
      <t xml:space="preserve">계산값은 </t>
    </r>
    <r>
      <rPr>
        <sz val="10"/>
        <rFont val="맑은 고딕"/>
        <family val="0"/>
        <charset val="1"/>
      </rPr>
      <t xml:space="preserve">XRD </t>
    </r>
    <r>
      <rPr>
        <sz val="10"/>
        <rFont val="맑은 고딕"/>
        <family val="2"/>
      </rPr>
      <t xml:space="preserve">실측과 차이가 있음</t>
    </r>
  </si>
  <si>
    <t xml:space="preserve">clk_c3a</t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</si>
  <si>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C₃A(Bogue)</t>
    </r>
  </si>
  <si>
    <r>
      <rPr>
        <sz val="10"/>
        <rFont val="맑은 고딕"/>
        <family val="2"/>
      </rPr>
      <t xml:space="preserve">초기 수화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응결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황산염 저항성에 영향</t>
    </r>
  </si>
  <si>
    <t xml:space="preserve">clk_liquid</t>
  </si>
  <si>
    <r>
      <rPr>
        <sz val="10"/>
        <rFont val="맑은 고딕"/>
        <family val="2"/>
      </rPr>
      <t xml:space="preserve">액상량</t>
    </r>
    <r>
      <rPr>
        <sz val="10"/>
        <rFont val="맑은 고딕"/>
        <family val="0"/>
        <charset val="1"/>
      </rPr>
      <t xml:space="preserve">(1450℃)</t>
    </r>
  </si>
  <si>
    <t xml:space="preserve">clk_na2oeq</t>
  </si>
  <si>
    <t xml:space="preserve">클링커 등가알칼리</t>
  </si>
  <si>
    <t xml:space="preserve">xrd_alite</t>
  </si>
  <si>
    <r>
      <rPr>
        <sz val="10"/>
        <rFont val="맑은 고딕"/>
        <family val="0"/>
        <charset val="1"/>
      </rPr>
      <t xml:space="preserve">XRD </t>
    </r>
    <r>
      <rPr>
        <sz val="10"/>
        <rFont val="맑은 고딕"/>
        <family val="2"/>
      </rPr>
      <t xml:space="preserve">알라이트</t>
    </r>
    <r>
      <rPr>
        <sz val="10"/>
        <rFont val="맑은 고딕"/>
        <family val="0"/>
        <charset val="1"/>
      </rPr>
      <t xml:space="preserve">(C₃S)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</si>
  <si>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맑은 고딕"/>
        <family val="2"/>
      </rPr>
      <t xml:space="preserve">일</t>
    </r>
  </si>
  <si>
    <r>
      <rPr>
        <sz val="10"/>
        <rFont val="맑은 고딕"/>
        <family val="2"/>
      </rPr>
      <t xml:space="preserve">클링커 일일 시료</t>
    </r>
    <r>
      <rPr>
        <sz val="10"/>
        <rFont val="맑은 고딕"/>
        <family val="0"/>
        <charset val="1"/>
      </rPr>
      <t xml:space="preserve">(XRD·</t>
    </r>
    <r>
      <rPr>
        <sz val="10"/>
        <rFont val="맑은 고딕"/>
        <family val="2"/>
      </rPr>
      <t xml:space="preserve">크롬</t>
    </r>
    <r>
      <rPr>
        <sz val="10"/>
        <rFont val="맑은 고딕"/>
        <family val="0"/>
        <charset val="1"/>
      </rPr>
      <t xml:space="preserve">, LIMS)</t>
    </r>
  </si>
  <si>
    <r>
      <rPr>
        <sz val="10"/>
        <rFont val="맑은 고딕"/>
        <family val="0"/>
        <charset val="1"/>
      </rPr>
      <t xml:space="preserve">XRD-Rietveld </t>
    </r>
    <r>
      <rPr>
        <sz val="10"/>
        <rFont val="맑은 고딕"/>
        <family val="2"/>
      </rPr>
      <t xml:space="preserve">정량</t>
    </r>
  </si>
  <si>
    <r>
      <rPr>
        <sz val="10"/>
        <rFont val="맑은 고딕"/>
        <family val="2"/>
      </rPr>
      <t xml:space="preserve">경험칙 초기값</t>
    </r>
    <r>
      <rPr>
        <sz val="10"/>
        <rFont val="맑은 고딕"/>
        <family val="0"/>
        <charset val="1"/>
      </rPr>
      <t xml:space="preserve">(XRD-Rietveld </t>
    </r>
    <r>
      <rPr>
        <sz val="10"/>
        <rFont val="맑은 고딕"/>
        <family val="2"/>
      </rPr>
      <t xml:space="preserve">정량 기준</t>
    </r>
    <r>
      <rPr>
        <sz val="10"/>
        <rFont val="맑은 고딕"/>
        <family val="0"/>
        <charset val="1"/>
      </rPr>
      <t xml:space="preserve">) — </t>
    </r>
    <r>
      <rPr>
        <sz val="10"/>
        <rFont val="맑은 고딕"/>
        <family val="2"/>
      </rPr>
      <t xml:space="preserve">공장 기준으로 교체 필요</t>
    </r>
  </si>
  <si>
    <t xml:space="preserve">R1, R2, R3</t>
  </si>
  <si>
    <r>
      <rPr>
        <sz val="10"/>
        <rFont val="맑은 고딕"/>
        <family val="2"/>
      </rPr>
      <t xml:space="preserve">실측 </t>
    </r>
    <r>
      <rPr>
        <sz val="10"/>
        <rFont val="맑은 고딕"/>
        <family val="0"/>
        <charset val="1"/>
      </rPr>
      <t xml:space="preserve">C₃S. Bogue </t>
    </r>
    <r>
      <rPr>
        <sz val="10"/>
        <rFont val="맑은 고딕"/>
        <family val="2"/>
      </rPr>
      <t xml:space="preserve">계산값보다 통상 높게 나옴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고용 불순물 영향</t>
    </r>
    <r>
      <rPr>
        <sz val="10"/>
        <rFont val="맑은 고딕"/>
        <family val="0"/>
        <charset val="1"/>
      </rPr>
      <t xml:space="preserve">) — </t>
    </r>
    <r>
      <rPr>
        <sz val="10"/>
        <rFont val="맑은 고딕"/>
        <family val="2"/>
      </rPr>
      <t xml:space="preserve">강도 예측의 핵심 입력</t>
    </r>
  </si>
  <si>
    <t xml:space="preserve">xrd_belite</t>
  </si>
  <si>
    <r>
      <rPr>
        <sz val="10"/>
        <rFont val="맑은 고딕"/>
        <family val="0"/>
        <charset val="1"/>
      </rPr>
      <t xml:space="preserve">XRD </t>
    </r>
    <r>
      <rPr>
        <sz val="10"/>
        <rFont val="맑은 고딕"/>
        <family val="2"/>
      </rPr>
      <t xml:space="preserve">벨라이트</t>
    </r>
    <r>
      <rPr>
        <sz val="10"/>
        <rFont val="맑은 고딕"/>
        <family val="0"/>
        <charset val="1"/>
      </rPr>
      <t xml:space="preserve">(C₂S)</t>
    </r>
  </si>
  <si>
    <r>
      <rPr>
        <sz val="10"/>
        <rFont val="맑은 고딕"/>
        <family val="2"/>
      </rPr>
      <t xml:space="preserve">장기강도</t>
    </r>
    <r>
      <rPr>
        <sz val="10"/>
        <rFont val="맑은 고딕"/>
        <family val="0"/>
        <charset val="1"/>
      </rPr>
      <t xml:space="preserve">(28</t>
    </r>
    <r>
      <rPr>
        <sz val="10"/>
        <rFont val="맑은 고딕"/>
        <family val="2"/>
      </rPr>
      <t xml:space="preserve">일 이후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기여 광물</t>
    </r>
    <r>
      <rPr>
        <sz val="10"/>
        <rFont val="맑은 고딕"/>
        <family val="0"/>
        <charset val="1"/>
      </rPr>
      <t xml:space="preserve">. </t>
    </r>
    <r>
      <rPr>
        <sz val="10"/>
        <rFont val="맑은 고딕"/>
        <family val="2"/>
      </rPr>
      <t xml:space="preserve">과다 시 조기강도 저하</t>
    </r>
  </si>
  <si>
    <t xml:space="preserve">xrd_c3a</t>
  </si>
  <si>
    <r>
      <rPr>
        <sz val="10"/>
        <rFont val="맑은 고딕"/>
        <family val="0"/>
        <charset val="1"/>
      </rPr>
      <t xml:space="preserve">XRD C₃A(</t>
    </r>
    <r>
      <rPr>
        <sz val="10"/>
        <rFont val="맑은 고딕"/>
        <family val="2"/>
      </rPr>
      <t xml:space="preserve">입방</t>
    </r>
    <r>
      <rPr>
        <sz val="10"/>
        <rFont val="맑은 고딕"/>
        <family val="0"/>
        <charset val="1"/>
      </rPr>
      <t xml:space="preserve">+</t>
    </r>
    <r>
      <rPr>
        <sz val="10"/>
        <rFont val="맑은 고딕"/>
        <family val="2"/>
      </rPr>
      <t xml:space="preserve">사방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</si>
  <si>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초기 수화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응결 속도와 석고 요구량을 좌우</t>
    </r>
  </si>
  <si>
    <t xml:space="preserve">xrd_c4af</t>
  </si>
  <si>
    <r>
      <rPr>
        <sz val="10"/>
        <rFont val="맑은 고딕"/>
        <family val="0"/>
        <charset val="1"/>
      </rPr>
      <t xml:space="preserve">XRD </t>
    </r>
    <r>
      <rPr>
        <sz val="10"/>
        <rFont val="맑은 고딕"/>
        <family val="2"/>
      </rPr>
      <t xml:space="preserve">페라이트</t>
    </r>
    <r>
      <rPr>
        <sz val="10"/>
        <rFont val="맑은 고딕"/>
        <family val="0"/>
        <charset val="1"/>
      </rPr>
      <t xml:space="preserve">(C₄AF)</t>
    </r>
  </si>
  <si>
    <t xml:space="preserve">xrd_fcao</t>
  </si>
  <si>
    <r>
      <rPr>
        <sz val="10"/>
        <rFont val="맑은 고딕"/>
        <family val="0"/>
        <charset val="1"/>
      </rPr>
      <t xml:space="preserve">XRD </t>
    </r>
    <r>
      <rPr>
        <sz val="10"/>
        <rFont val="맑은 고딕"/>
        <family val="2"/>
      </rPr>
      <t xml:space="preserve">자유석회</t>
    </r>
  </si>
  <si>
    <t xml:space="preserve">xrd_periclase</t>
  </si>
  <si>
    <r>
      <rPr>
        <sz val="10"/>
        <rFont val="맑은 고딕"/>
        <family val="0"/>
        <charset val="1"/>
      </rPr>
      <t xml:space="preserve">XRD </t>
    </r>
    <r>
      <rPr>
        <sz val="10"/>
        <rFont val="맑은 고딕"/>
        <family val="2"/>
      </rPr>
      <t xml:space="preserve">페리클레이스</t>
    </r>
    <r>
      <rPr>
        <sz val="10"/>
        <rFont val="맑은 고딕"/>
        <family val="0"/>
        <charset val="1"/>
      </rPr>
      <t xml:space="preserve">(MgO)</t>
    </r>
  </si>
  <si>
    <r>
      <rPr>
        <sz val="10"/>
        <rFont val="맑은 고딕"/>
        <family val="2"/>
      </rPr>
      <t xml:space="preserve">결정질 </t>
    </r>
    <r>
      <rPr>
        <sz val="10"/>
        <rFont val="맑은 고딕"/>
        <family val="0"/>
        <charset val="1"/>
      </rPr>
      <t xml:space="preserve">MgO. </t>
    </r>
    <r>
      <rPr>
        <sz val="10"/>
        <rFont val="맑은 고딕"/>
        <family val="2"/>
      </rPr>
      <t xml:space="preserve">과다 시 오토클레이브 팽창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안정도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위험</t>
    </r>
  </si>
  <si>
    <t xml:space="preserve">clk_cr</t>
  </si>
  <si>
    <t xml:space="preserve">클링커 총 크롬</t>
  </si>
  <si>
    <t xml:space="preserve">mg/kg</t>
  </si>
  <si>
    <r>
      <rPr>
        <sz val="10"/>
        <rFont val="맑은 고딕"/>
        <family val="0"/>
        <charset val="1"/>
      </rPr>
      <t xml:space="preserve">XRF / ICP(</t>
    </r>
    <r>
      <rPr>
        <sz val="10"/>
        <rFont val="맑은 고딕"/>
        <family val="2"/>
      </rPr>
      <t xml:space="preserve">총 크롬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</si>
  <si>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원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부원료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연료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내화물에서 유입된 크롬</t>
    </r>
    <r>
      <rPr>
        <sz val="10"/>
        <rFont val="맑은 고딕"/>
        <family val="0"/>
        <charset val="1"/>
      </rPr>
      <t xml:space="preserve">(XRF/ICP). 6</t>
    </r>
    <r>
      <rPr>
        <sz val="10"/>
        <rFont val="맑은 고딕"/>
        <family val="2"/>
      </rPr>
      <t xml:space="preserve">가크롬의 모체</t>
    </r>
  </si>
  <si>
    <t xml:space="preserve">clk_crvi</t>
  </si>
  <si>
    <r>
      <rPr>
        <sz val="10"/>
        <rFont val="맑은 고딕"/>
        <family val="2"/>
      </rPr>
      <t xml:space="preserve">클링커 수용성 </t>
    </r>
    <r>
      <rPr>
        <sz val="10"/>
        <rFont val="맑은 고딕"/>
        <family val="0"/>
        <charset val="1"/>
      </rPr>
      <t xml:space="preserve">Cr⁶⁺</t>
    </r>
  </si>
  <si>
    <r>
      <rPr>
        <sz val="10"/>
        <rFont val="맑은 고딕"/>
        <family val="0"/>
        <charset val="1"/>
      </rPr>
      <t xml:space="preserve">KS L 5221 </t>
    </r>
    <r>
      <rPr>
        <sz val="10"/>
        <rFont val="맑은 고딕"/>
        <family val="2"/>
      </rPr>
      <t xml:space="preserve">준용</t>
    </r>
  </si>
  <si>
    <r>
      <rPr>
        <sz val="10"/>
        <rFont val="맑은 고딕"/>
        <family val="2"/>
      </rPr>
      <t xml:space="preserve">킬른 산화 분위기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알칼리에서 </t>
    </r>
    <r>
      <rPr>
        <sz val="10"/>
        <rFont val="맑은 고딕"/>
        <family val="0"/>
        <charset val="1"/>
      </rPr>
      <t xml:space="preserve">Cr³⁺ → Cr⁶⁺ </t>
    </r>
    <r>
      <rPr>
        <sz val="10"/>
        <rFont val="맑은 고딕"/>
        <family val="2"/>
      </rPr>
      <t xml:space="preserve">전환</t>
    </r>
    <r>
      <rPr>
        <sz val="10"/>
        <rFont val="맑은 고딕"/>
        <family val="0"/>
        <charset val="1"/>
      </rPr>
      <t xml:space="preserve">(KS L 5221 </t>
    </r>
    <r>
      <rPr>
        <sz val="10"/>
        <rFont val="맑은 고딕"/>
        <family val="2"/>
      </rPr>
      <t xml:space="preserve">방법 준용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</si>
  <si>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시멘트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분쇄</t>
    </r>
    <r>
      <rPr>
        <sz val="10"/>
        <rFont val="맑은 고딕"/>
        <family val="0"/>
        <charset val="1"/>
      </rPr>
      <t xml:space="preserve">)</t>
    </r>
  </si>
  <si>
    <t xml:space="preserve">cem_blaine</t>
  </si>
  <si>
    <r>
      <rPr>
        <sz val="10"/>
        <rFont val="맑은 고딕"/>
        <family val="2"/>
      </rPr>
      <t xml:space="preserve">시멘트 분말도</t>
    </r>
    <r>
      <rPr>
        <sz val="10"/>
        <rFont val="맑은 고딕"/>
        <family val="0"/>
        <charset val="1"/>
      </rPr>
      <t xml:space="preserve">(Blaine)</t>
    </r>
  </si>
  <si>
    <t xml:space="preserve">cm²/g</t>
  </si>
  <si>
    <r>
      <rPr>
        <sz val="10"/>
        <rFont val="맑은 고딕"/>
        <family val="0"/>
        <charset val="1"/>
      </rPr>
      <t xml:space="preserve">XRF·</t>
    </r>
    <r>
      <rPr>
        <sz val="10"/>
        <rFont val="맑은 고딕"/>
        <family val="2"/>
      </rPr>
      <t xml:space="preserve">분말도 시험 </t>
    </r>
    <r>
      <rPr>
        <sz val="10"/>
        <rFont val="맑은 고딕"/>
        <family val="0"/>
        <charset val="1"/>
      </rPr>
      <t xml:space="preserve">+ DCS(</t>
    </r>
    <r>
      <rPr>
        <sz val="10"/>
        <rFont val="맑은 고딕"/>
        <family val="2"/>
      </rPr>
      <t xml:space="preserve">밀 운전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</si>
  <si>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KS L 5106(</t>
    </r>
    <r>
      <rPr>
        <sz val="10"/>
        <rFont val="맑은 고딕"/>
        <family val="2"/>
      </rPr>
      <t xml:space="preserve">블레인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</si>
  <si>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맑은 고딕"/>
        <family val="2"/>
      </rPr>
      <t xml:space="preserve">종</t>
    </r>
  </si>
  <si>
    <r>
      <rPr>
        <sz val="10"/>
        <rFont val="맑은 고딕"/>
        <family val="0"/>
        <charset val="1"/>
      </rPr>
      <t xml:space="preserve">KS L 5201 </t>
    </r>
    <r>
      <rPr>
        <sz val="10"/>
        <rFont val="맑은 고딕"/>
        <family val="2"/>
      </rPr>
      <t xml:space="preserve">포틀랜드 시멘트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</si>
  <si>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맑은 고딕"/>
        <family val="2"/>
      </rPr>
      <t xml:space="preserve">종</t>
    </r>
  </si>
  <si>
    <t xml:space="preserve">cem_r45</t>
  </si>
  <si>
    <r>
      <rPr>
        <sz val="10"/>
        <rFont val="맑은 고딕"/>
        <family val="2"/>
      </rPr>
      <t xml:space="preserve">시멘트 </t>
    </r>
    <r>
      <rPr>
        <sz val="10"/>
        <rFont val="맑은 고딕"/>
        <family val="0"/>
        <charset val="1"/>
      </rPr>
      <t xml:space="preserve">45μm </t>
    </r>
    <r>
      <rPr>
        <sz val="10"/>
        <rFont val="맑은 고딕"/>
        <family val="2"/>
      </rPr>
      <t xml:space="preserve">잔사</t>
    </r>
  </si>
  <si>
    <t xml:space="preserve">cem_so3</t>
  </si>
  <si>
    <r>
      <rPr>
        <sz val="10"/>
        <rFont val="맑은 고딕"/>
        <family val="2"/>
      </rPr>
      <t xml:space="preserve">시멘트 </t>
    </r>
    <r>
      <rPr>
        <sz val="10"/>
        <rFont val="맑은 고딕"/>
        <family val="0"/>
        <charset val="1"/>
      </rPr>
      <t xml:space="preserve">SO₃</t>
    </r>
  </si>
  <si>
    <t xml:space="preserve">KS L 5120 / XRF</t>
  </si>
  <si>
    <r>
      <rPr>
        <sz val="10"/>
        <rFont val="맑은 고딕"/>
        <family val="2"/>
      </rPr>
      <t xml:space="preserve">석고 최적 </t>
    </r>
    <r>
      <rPr>
        <sz val="10"/>
        <rFont val="맑은 고딕"/>
        <family val="0"/>
        <charset val="1"/>
      </rPr>
      <t xml:space="preserve">SO₃ </t>
    </r>
    <r>
      <rPr>
        <sz val="10"/>
        <rFont val="맑은 고딕"/>
        <family val="2"/>
      </rPr>
      <t xml:space="preserve">이탈 시 강도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응결 변동</t>
    </r>
  </si>
  <si>
    <t xml:space="preserve">cem_loi</t>
  </si>
  <si>
    <t xml:space="preserve">시멘트 강열감량</t>
  </si>
  <si>
    <t xml:space="preserve">KS L 5120</t>
  </si>
  <si>
    <r>
      <rPr>
        <sz val="10"/>
        <rFont val="맑은 고딕"/>
        <family val="0"/>
        <charset val="1"/>
      </rPr>
      <t xml:space="preserve">KS L 5201 </t>
    </r>
    <r>
      <rPr>
        <sz val="10"/>
        <rFont val="맑은 고딕"/>
        <family val="2"/>
      </rPr>
      <t xml:space="preserve">포틀랜드 시멘트 </t>
    </r>
    <r>
      <rPr>
        <sz val="10"/>
        <rFont val="맑은 고딕"/>
        <family val="0"/>
        <charset val="1"/>
      </rPr>
      <t xml:space="preserve">(2016 </t>
    </r>
    <r>
      <rPr>
        <sz val="10"/>
        <rFont val="맑은 고딕"/>
        <family val="2"/>
      </rPr>
      <t xml:space="preserve">개정 </t>
    </r>
    <r>
      <rPr>
        <sz val="10"/>
        <rFont val="맑은 고딕"/>
        <family val="0"/>
        <charset val="1"/>
      </rPr>
      <t xml:space="preserve">5.0%)</t>
    </r>
  </si>
  <si>
    <t xml:space="preserve">cem_mgo</t>
  </si>
  <si>
    <r>
      <rPr>
        <sz val="10"/>
        <rFont val="맑은 고딕"/>
        <family val="2"/>
      </rPr>
      <t xml:space="preserve">시멘트 </t>
    </r>
    <r>
      <rPr>
        <sz val="10"/>
        <rFont val="맑은 고딕"/>
        <family val="0"/>
        <charset val="1"/>
      </rPr>
      <t xml:space="preserve">MgO</t>
    </r>
  </si>
  <si>
    <t xml:space="preserve">cem_ls</t>
  </si>
  <si>
    <t xml:space="preserve">석회석 혼합률</t>
  </si>
  <si>
    <r>
      <rPr>
        <sz val="10"/>
        <rFont val="맑은 고딕"/>
        <family val="0"/>
        <charset val="1"/>
      </rPr>
      <t xml:space="preserve">CO₂·</t>
    </r>
    <r>
      <rPr>
        <sz val="10"/>
        <rFont val="맑은 고딕"/>
        <family val="2"/>
      </rPr>
      <t xml:space="preserve">강열감량 역산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공급기 실적</t>
    </r>
  </si>
  <si>
    <r>
      <rPr>
        <sz val="10"/>
        <rFont val="맑은 고딕"/>
        <family val="0"/>
        <charset val="1"/>
      </rPr>
      <t xml:space="preserve">KS L 5201 </t>
    </r>
    <r>
      <rPr>
        <sz val="10"/>
        <rFont val="맑은 고딕"/>
        <family val="2"/>
      </rPr>
      <t xml:space="preserve">소량 혼합성분 한도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석회석 미분말 </t>
    </r>
    <r>
      <rPr>
        <sz val="10"/>
        <rFont val="맑은 고딕"/>
        <family val="0"/>
        <charset val="1"/>
      </rPr>
      <t xml:space="preserve">5% </t>
    </r>
    <r>
      <rPr>
        <sz val="10"/>
        <rFont val="맑은 고딕"/>
        <family val="2"/>
      </rPr>
      <t xml:space="preserve">등</t>
    </r>
    <r>
      <rPr>
        <sz val="10"/>
        <rFont val="맑은 고딕"/>
        <family val="0"/>
        <charset val="1"/>
      </rPr>
      <t xml:space="preserve">, 2013 </t>
    </r>
    <r>
      <rPr>
        <sz val="10"/>
        <rFont val="맑은 고딕"/>
        <family val="2"/>
      </rPr>
      <t xml:space="preserve">개정</t>
    </r>
    <r>
      <rPr>
        <sz val="10"/>
        <rFont val="맑은 고딕"/>
        <family val="0"/>
        <charset val="1"/>
      </rPr>
      <t xml:space="preserve">) — </t>
    </r>
    <r>
      <rPr>
        <sz val="10"/>
        <rFont val="맑은 고딕"/>
        <family val="2"/>
      </rPr>
      <t xml:space="preserve">원문 확인 필요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사내 상한으로만 관리</t>
    </r>
  </si>
  <si>
    <r>
      <rPr>
        <sz val="10"/>
        <rFont val="맑은 고딕"/>
        <family val="2"/>
      </rPr>
      <t xml:space="preserve">클링커 희석 → 강도 저하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경험칙</t>
    </r>
    <r>
      <rPr>
        <sz val="10"/>
        <rFont val="맑은 고딕"/>
        <family val="0"/>
        <charset val="1"/>
      </rPr>
      <t xml:space="preserve">: 1%p</t>
    </r>
    <r>
      <rPr>
        <sz val="10"/>
        <rFont val="맑은 고딕"/>
        <family val="2"/>
      </rPr>
      <t xml:space="preserve">당 </t>
    </r>
    <r>
      <rPr>
        <sz val="10"/>
        <rFont val="맑은 고딕"/>
        <family val="0"/>
        <charset val="1"/>
      </rPr>
      <t xml:space="preserve">28</t>
    </r>
    <r>
      <rPr>
        <sz val="10"/>
        <rFont val="맑은 고딕"/>
        <family val="2"/>
      </rPr>
      <t xml:space="preserve">일 약 </t>
    </r>
    <r>
      <rPr>
        <sz val="10"/>
        <rFont val="맑은 고딕"/>
        <family val="0"/>
        <charset val="1"/>
      </rPr>
      <t xml:space="preserve">0.3~0.5 MPa), 6</t>
    </r>
    <r>
      <rPr>
        <sz val="10"/>
        <rFont val="맑은 고딕"/>
        <family val="2"/>
      </rPr>
      <t xml:space="preserve">가크롬 희석 효과</t>
    </r>
  </si>
  <si>
    <t xml:space="preserve">cem_mill_feed</t>
  </si>
  <si>
    <t xml:space="preserve">시멘트밀 투입량</t>
  </si>
  <si>
    <t xml:space="preserve">cem_mill_temp</t>
  </si>
  <si>
    <t xml:space="preserve">시멘트밀 출구 온도</t>
  </si>
  <si>
    <r>
      <rPr>
        <sz val="10"/>
        <rFont val="맑은 고딕"/>
        <family val="2"/>
      </rPr>
      <t xml:space="preserve">과고 시 이수석고 탈수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반수석고화</t>
    </r>
    <r>
      <rPr>
        <sz val="10"/>
        <rFont val="맑은 고딕"/>
        <family val="0"/>
        <charset val="1"/>
      </rPr>
      <t xml:space="preserve">) → </t>
    </r>
    <r>
      <rPr>
        <sz val="10"/>
        <rFont val="맑은 고딕"/>
        <family val="2"/>
      </rPr>
      <t xml:space="preserve">위응결 위험</t>
    </r>
  </si>
  <si>
    <t xml:space="preserve">phy_ist</t>
  </si>
  <si>
    <t xml:space="preserve">초결 시간</t>
  </si>
  <si>
    <t xml:space="preserve">분</t>
  </si>
  <si>
    <r>
      <rPr>
        <sz val="10"/>
        <rFont val="맑은 고딕"/>
        <family val="2"/>
      </rPr>
      <t xml:space="preserve">물성 시험실</t>
    </r>
    <r>
      <rPr>
        <sz val="10"/>
        <rFont val="맑은 고딕"/>
        <family val="0"/>
        <charset val="1"/>
      </rPr>
      <t xml:space="preserve">(LIMS)</t>
    </r>
  </si>
  <si>
    <r>
      <rPr>
        <sz val="10"/>
        <rFont val="맑은 고딕"/>
        <family val="0"/>
        <charset val="1"/>
      </rPr>
      <t xml:space="preserve">KS L 5108(</t>
    </r>
    <r>
      <rPr>
        <sz val="10"/>
        <rFont val="맑은 고딕"/>
        <family val="2"/>
      </rPr>
      <t xml:space="preserve">비카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</si>
  <si>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KS L 5201 </t>
    </r>
    <r>
      <rPr>
        <sz val="10"/>
        <rFont val="맑은 고딕"/>
        <family val="2"/>
      </rPr>
      <t xml:space="preserve">포틀랜드 시멘트 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비카 초결 </t>
    </r>
    <r>
      <rPr>
        <sz val="10"/>
        <rFont val="맑은 고딕"/>
        <family val="0"/>
        <charset val="1"/>
      </rPr>
      <t xml:space="preserve">60</t>
    </r>
    <r>
      <rPr>
        <sz val="10"/>
        <rFont val="맑은 고딕"/>
        <family val="2"/>
      </rPr>
      <t xml:space="preserve">분 이상</t>
    </r>
    <r>
      <rPr>
        <sz val="10"/>
        <rFont val="맑은 고딕"/>
        <family val="0"/>
        <charset val="1"/>
      </rPr>
      <t xml:space="preserve">)</t>
    </r>
  </si>
  <si>
    <t xml:space="preserve">phy_fst</t>
  </si>
  <si>
    <t xml:space="preserve">종결 시간</t>
  </si>
  <si>
    <r>
      <rPr>
        <sz val="10"/>
        <rFont val="맑은 고딕"/>
        <family val="0"/>
        <charset val="1"/>
      </rPr>
      <t xml:space="preserve">KS L 5201 </t>
    </r>
    <r>
      <rPr>
        <sz val="10"/>
        <rFont val="맑은 고딕"/>
        <family val="2"/>
      </rPr>
      <t xml:space="preserve">포틀랜드 시멘트 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종결 </t>
    </r>
    <r>
      <rPr>
        <sz val="10"/>
        <rFont val="맑은 고딕"/>
        <family val="0"/>
        <charset val="1"/>
      </rPr>
      <t xml:space="preserve">10</t>
    </r>
    <r>
      <rPr>
        <sz val="10"/>
        <rFont val="맑은 고딕"/>
        <family val="2"/>
      </rPr>
      <t xml:space="preserve">시간 이하</t>
    </r>
    <r>
      <rPr>
        <sz val="10"/>
        <rFont val="맑은 고딕"/>
        <family val="0"/>
        <charset val="1"/>
      </rPr>
      <t xml:space="preserve">)</t>
    </r>
  </si>
  <si>
    <t xml:space="preserve">phy_autoclave</t>
  </si>
  <si>
    <t xml:space="preserve">오토클레이브 팽창도</t>
  </si>
  <si>
    <r>
      <rPr>
        <sz val="10"/>
        <rFont val="맑은 고딕"/>
        <family val="0"/>
        <charset val="1"/>
      </rPr>
      <t xml:space="preserve">KS L 5107(</t>
    </r>
    <r>
      <rPr>
        <sz val="10"/>
        <rFont val="맑은 고딕"/>
        <family val="2"/>
      </rPr>
      <t xml:space="preserve">오토클레이브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</si>
  <si>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KS L 5201 </t>
    </r>
    <r>
      <rPr>
        <sz val="10"/>
        <rFont val="맑은 고딕"/>
        <family val="2"/>
      </rPr>
      <t xml:space="preserve">포틀랜드 시멘트 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안정도</t>
    </r>
    <r>
      <rPr>
        <sz val="10"/>
        <rFont val="맑은 고딕"/>
        <family val="0"/>
        <charset val="1"/>
      </rPr>
      <t xml:space="preserve">)</t>
    </r>
  </si>
  <si>
    <t xml:space="preserve">phy_crvi</t>
  </si>
  <si>
    <r>
      <rPr>
        <sz val="10"/>
        <rFont val="맑은 고딕"/>
        <family val="2"/>
      </rPr>
      <t xml:space="preserve">시멘트 수용성 </t>
    </r>
    <r>
      <rPr>
        <sz val="10"/>
        <rFont val="맑은 고딕"/>
        <family val="0"/>
        <charset val="1"/>
      </rPr>
      <t xml:space="preserve">6</t>
    </r>
    <r>
      <rPr>
        <sz val="10"/>
        <rFont val="맑은 고딕"/>
        <family val="2"/>
      </rPr>
      <t xml:space="preserve">가크롬</t>
    </r>
  </si>
  <si>
    <r>
      <rPr>
        <sz val="10"/>
        <rFont val="맑은 고딕"/>
        <family val="0"/>
        <charset val="1"/>
      </rPr>
      <t xml:space="preserve">KS L 5221(</t>
    </r>
    <r>
      <rPr>
        <sz val="10"/>
        <rFont val="맑은 고딕"/>
        <family val="2"/>
      </rPr>
      <t xml:space="preserve">수용성 </t>
    </r>
    <r>
      <rPr>
        <sz val="10"/>
        <rFont val="맑은 고딕"/>
        <family val="0"/>
        <charset val="1"/>
      </rPr>
      <t xml:space="preserve">6</t>
    </r>
    <r>
      <rPr>
        <sz val="10"/>
        <rFont val="맑은 고딕"/>
        <family val="2"/>
      </rPr>
      <t xml:space="preserve">가크롬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</si>
  <si>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환경부–시멘트업계 자율협약 </t>
    </r>
    <r>
      <rPr>
        <sz val="10"/>
        <rFont val="맑은 고딕"/>
        <family val="0"/>
        <charset val="1"/>
      </rPr>
      <t xml:space="preserve">20 mg/kg </t>
    </r>
    <r>
      <rPr>
        <sz val="10"/>
        <rFont val="맑은 고딕"/>
        <family val="2"/>
      </rPr>
      <t xml:space="preserve">이하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수용성 </t>
    </r>
    <r>
      <rPr>
        <sz val="10"/>
        <rFont val="맑은 고딕"/>
        <family val="0"/>
        <charset val="1"/>
      </rPr>
      <t xml:space="preserve">Cr⁶⁺, KS L 5221 </t>
    </r>
    <r>
      <rPr>
        <sz val="10"/>
        <rFont val="맑은 고딕"/>
        <family val="2"/>
      </rPr>
      <t xml:space="preserve">시험</t>
    </r>
    <r>
      <rPr>
        <sz val="10"/>
        <rFont val="맑은 고딕"/>
        <family val="0"/>
        <charset val="1"/>
      </rPr>
      <t xml:space="preserve">) — </t>
    </r>
    <r>
      <rPr>
        <sz val="10"/>
        <rFont val="맑은 고딕"/>
        <family val="2"/>
      </rPr>
      <t xml:space="preserve">법정 </t>
    </r>
    <r>
      <rPr>
        <sz val="10"/>
        <rFont val="맑은 고딕"/>
        <family val="0"/>
        <charset val="1"/>
      </rPr>
      <t xml:space="preserve">KS </t>
    </r>
    <r>
      <rPr>
        <sz val="10"/>
        <rFont val="맑은 고딕"/>
        <family val="2"/>
      </rPr>
      <t xml:space="preserve">기준 아님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사내 경고 </t>
    </r>
    <r>
      <rPr>
        <sz val="10"/>
        <rFont val="맑은 고딕"/>
        <family val="0"/>
        <charset val="1"/>
      </rPr>
      <t xml:space="preserve">18</t>
    </r>
  </si>
  <si>
    <r>
      <rPr>
        <sz val="10"/>
        <rFont val="맑은 고딕"/>
        <family val="2"/>
      </rPr>
      <t xml:space="preserve">환원제 투입 후 제품값</t>
    </r>
    <r>
      <rPr>
        <sz val="10"/>
        <rFont val="맑은 고딕"/>
        <family val="0"/>
        <charset val="1"/>
      </rPr>
      <t xml:space="preserve">. </t>
    </r>
    <r>
      <rPr>
        <sz val="10"/>
        <rFont val="맑은 고딕"/>
        <family val="2"/>
      </rPr>
      <t xml:space="preserve">국내 자율기준 </t>
    </r>
    <r>
      <rPr>
        <sz val="10"/>
        <rFont val="맑은 고딕"/>
        <family val="0"/>
        <charset val="1"/>
      </rPr>
      <t xml:space="preserve">20 mg/kg, EU 2 mg/kg(EN 196-10, </t>
    </r>
    <r>
      <rPr>
        <sz val="10"/>
        <rFont val="맑은 고딕"/>
        <family val="2"/>
      </rPr>
      <t xml:space="preserve">시험법 상이</t>
    </r>
    <r>
      <rPr>
        <sz val="10"/>
        <rFont val="맑은 고딕"/>
        <family val="0"/>
        <charset val="1"/>
      </rPr>
      <t xml:space="preserve">)</t>
    </r>
  </si>
  <si>
    <t xml:space="preserve">phy_s1</t>
  </si>
  <si>
    <r>
      <rPr>
        <sz val="10"/>
        <rFont val="맑은 고딕"/>
        <family val="0"/>
        <charset val="1"/>
      </rPr>
      <t xml:space="preserve">1</t>
    </r>
    <r>
      <rPr>
        <sz val="10"/>
        <rFont val="맑은 고딕"/>
        <family val="2"/>
      </rPr>
      <t xml:space="preserve">일 압축강도</t>
    </r>
  </si>
  <si>
    <t xml:space="preserve">MPa</t>
  </si>
  <si>
    <t xml:space="preserve">KS L ISO 679</t>
  </si>
  <si>
    <t xml:space="preserve">phy_s3</t>
  </si>
  <si>
    <r>
      <rPr>
        <sz val="10"/>
        <rFont val="맑은 고딕"/>
        <family val="0"/>
        <charset val="1"/>
      </rPr>
      <t xml:space="preserve">3</t>
    </r>
    <r>
      <rPr>
        <sz val="10"/>
        <rFont val="맑은 고딕"/>
        <family val="2"/>
      </rPr>
      <t xml:space="preserve">일 압축강도</t>
    </r>
  </si>
  <si>
    <t xml:space="preserve">phy_s7</t>
  </si>
  <si>
    <r>
      <rPr>
        <sz val="10"/>
        <rFont val="맑은 고딕"/>
        <family val="0"/>
        <charset val="1"/>
      </rPr>
      <t xml:space="preserve">7</t>
    </r>
    <r>
      <rPr>
        <sz val="10"/>
        <rFont val="맑은 고딕"/>
        <family val="2"/>
      </rPr>
      <t xml:space="preserve">일 압축강도</t>
    </r>
  </si>
  <si>
    <t xml:space="preserve">phy_s28</t>
  </si>
  <si>
    <r>
      <rPr>
        <sz val="10"/>
        <rFont val="맑은 고딕"/>
        <family val="0"/>
        <charset val="1"/>
      </rPr>
      <t xml:space="preserve">28</t>
    </r>
    <r>
      <rPr>
        <sz val="10"/>
        <rFont val="맑은 고딕"/>
        <family val="2"/>
      </rPr>
      <t xml:space="preserve">일 압축강도</t>
    </r>
  </si>
  <si>
    <t xml:space="preserve">pred_s28</t>
  </si>
  <si>
    <r>
      <rPr>
        <sz val="10"/>
        <rFont val="맑은 고딕"/>
        <family val="0"/>
        <charset val="1"/>
      </rPr>
      <t xml:space="preserve">28</t>
    </r>
    <r>
      <rPr>
        <sz val="10"/>
        <rFont val="맑은 고딕"/>
        <family val="2"/>
      </rPr>
      <t xml:space="preserve">일 강도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예측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</si>
  <si>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KS L 5201 </t>
    </r>
    <r>
      <rPr>
        <sz val="10"/>
        <rFont val="맑은 고딕"/>
        <family val="2"/>
      </rPr>
      <t xml:space="preserve">포틀랜드 시멘트 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예측값 — 실측 확인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</si>
  <si>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조기 강도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화학 성분으로 회귀 예측</t>
    </r>
    <r>
      <rPr>
        <sz val="10"/>
        <rFont val="맑은 고딕"/>
        <family val="0"/>
        <charset val="1"/>
      </rPr>
      <t xml:space="preserve">. 28</t>
    </r>
    <r>
      <rPr>
        <sz val="10"/>
        <rFont val="맑은 고딕"/>
        <family val="2"/>
      </rPr>
      <t xml:space="preserve">일 결과 전 조기 경보용</t>
    </r>
  </si>
  <si>
    <t xml:space="preserve">lab_temp</t>
  </si>
  <si>
    <t xml:space="preserve">시험실 온도</t>
  </si>
  <si>
    <r>
      <rPr>
        <sz val="10"/>
        <rFont val="맑은 고딕"/>
        <family val="0"/>
        <charset val="1"/>
      </rPr>
      <t xml:space="preserve">KS L ISO 679 </t>
    </r>
    <r>
      <rPr>
        <sz val="10"/>
        <rFont val="맑은 고딕"/>
        <family val="2"/>
      </rPr>
      <t xml:space="preserve">강도 시험방법</t>
    </r>
    <r>
      <rPr>
        <sz val="10"/>
        <rFont val="맑은 고딕"/>
        <family val="0"/>
        <charset val="1"/>
      </rPr>
      <t xml:space="preserve">(ISO 679 </t>
    </r>
    <r>
      <rPr>
        <sz val="10"/>
        <rFont val="맑은 고딕"/>
        <family val="2"/>
      </rPr>
      <t xml:space="preserve">시험조건</t>
    </r>
    <r>
      <rPr>
        <sz val="10"/>
        <rFont val="맑은 고딕"/>
        <family val="0"/>
        <charset val="1"/>
      </rPr>
      <t xml:space="preserve">) 20±2℃</t>
    </r>
  </si>
  <si>
    <t xml:space="preserve">lab_rh</t>
  </si>
  <si>
    <t xml:space="preserve">시험실 상대습도</t>
  </si>
  <si>
    <r>
      <rPr>
        <sz val="10"/>
        <rFont val="맑은 고딕"/>
        <family val="0"/>
        <charset val="1"/>
      </rPr>
      <t xml:space="preserve">KS L ISO 679 </t>
    </r>
    <r>
      <rPr>
        <sz val="10"/>
        <rFont val="맑은 고딕"/>
        <family val="2"/>
      </rPr>
      <t xml:space="preserve">강도 시험방법</t>
    </r>
    <r>
      <rPr>
        <sz val="10"/>
        <rFont val="맑은 고딕"/>
        <family val="0"/>
        <charset val="1"/>
      </rPr>
      <t xml:space="preserve">(ISO 679 </t>
    </r>
    <r>
      <rPr>
        <sz val="10"/>
        <rFont val="맑은 고딕"/>
        <family val="2"/>
      </rPr>
      <t xml:space="preserve">시험조건</t>
    </r>
    <r>
      <rPr>
        <sz val="10"/>
        <rFont val="맑은 고딕"/>
        <family val="0"/>
        <charset val="1"/>
      </rPr>
      <t xml:space="preserve">) 50% </t>
    </r>
    <r>
      <rPr>
        <sz val="10"/>
        <rFont val="맑은 고딕"/>
        <family val="2"/>
      </rPr>
      <t xml:space="preserve">이상</t>
    </r>
  </si>
  <si>
    <t xml:space="preserve">lab_cure_temp</t>
  </si>
  <si>
    <t xml:space="preserve">양생수 온도</t>
  </si>
  <si>
    <r>
      <rPr>
        <sz val="10"/>
        <rFont val="맑은 고딕"/>
        <family val="0"/>
        <charset val="1"/>
      </rPr>
      <t xml:space="preserve">KS L ISO 679 </t>
    </r>
    <r>
      <rPr>
        <sz val="10"/>
        <rFont val="맑은 고딕"/>
        <family val="2"/>
      </rPr>
      <t xml:space="preserve">강도 시험방법</t>
    </r>
    <r>
      <rPr>
        <sz val="10"/>
        <rFont val="맑은 고딕"/>
        <family val="0"/>
        <charset val="1"/>
      </rPr>
      <t xml:space="preserve">(ISO 679 </t>
    </r>
    <r>
      <rPr>
        <sz val="10"/>
        <rFont val="맑은 고딕"/>
        <family val="2"/>
      </rPr>
      <t xml:space="preserve">시험조건</t>
    </r>
    <r>
      <rPr>
        <sz val="10"/>
        <rFont val="맑은 고딕"/>
        <family val="0"/>
        <charset val="1"/>
      </rPr>
      <t xml:space="preserve">) 20±1℃</t>
    </r>
  </si>
  <si>
    <t xml:space="preserve">심각도</t>
  </si>
  <si>
    <t xml:space="preserve">판정 조건</t>
  </si>
  <si>
    <t xml:space="preserve">예시</t>
  </si>
  <si>
    <r>
      <rPr>
        <b val="true"/>
        <sz val="10"/>
        <color rgb="FFFFFFFF"/>
        <rFont val="맑은 고딕"/>
        <family val="2"/>
      </rPr>
      <t xml:space="preserve">통보 대상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맑은 고딕"/>
        <family val="2"/>
      </rPr>
      <t xml:space="preserve">제안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</si>
  <si>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2"/>
      </rPr>
      <t xml:space="preserve">대응 기한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맑은 고딕"/>
        <family val="2"/>
      </rPr>
      <t xml:space="preserve">제안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</si>
  <si>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발송</t>
  </si>
  <si>
    <t xml:space="preserve">🔴 위험</t>
  </si>
  <si>
    <r>
      <rPr>
        <sz val="10"/>
        <rFont val="맑은 고딕"/>
        <family val="2"/>
      </rPr>
      <t xml:space="preserve">제품 항목이 </t>
    </r>
    <r>
      <rPr>
        <sz val="10"/>
        <rFont val="맑은 고딕"/>
        <family val="0"/>
        <charset val="1"/>
      </rPr>
      <t xml:space="preserve">KS L 5201 </t>
    </r>
    <r>
      <rPr>
        <sz val="10"/>
        <rFont val="맑은 고딕"/>
        <family val="2"/>
      </rPr>
      <t xml:space="preserve">규격을 벗어남</t>
    </r>
  </si>
  <si>
    <r>
      <rPr>
        <sz val="10"/>
        <rFont val="맑은 고딕"/>
        <family val="2"/>
      </rPr>
      <t xml:space="preserve">시멘트 </t>
    </r>
    <r>
      <rPr>
        <sz val="10"/>
        <rFont val="맑은 고딕"/>
        <family val="0"/>
        <charset val="1"/>
      </rPr>
      <t xml:space="preserve">SO₃ 3.5% </t>
    </r>
    <r>
      <rPr>
        <sz val="10"/>
        <rFont val="맑은 고딕"/>
        <family val="2"/>
      </rPr>
      <t xml:space="preserve">초과</t>
    </r>
    <r>
      <rPr>
        <sz val="10"/>
        <rFont val="맑은 고딕"/>
        <family val="0"/>
        <charset val="1"/>
      </rPr>
      <t xml:space="preserve">(1</t>
    </r>
    <r>
      <rPr>
        <sz val="10"/>
        <rFont val="맑은 고딕"/>
        <family val="2"/>
      </rPr>
      <t xml:space="preserve">종</t>
    </r>
    <r>
      <rPr>
        <sz val="10"/>
        <rFont val="맑은 고딕"/>
        <family val="0"/>
        <charset val="1"/>
      </rPr>
      <t xml:space="preserve">), 28</t>
    </r>
    <r>
      <rPr>
        <sz val="10"/>
        <rFont val="맑은 고딕"/>
        <family val="2"/>
      </rPr>
      <t xml:space="preserve">일 강도 </t>
    </r>
    <r>
      <rPr>
        <sz val="10"/>
        <rFont val="맑은 고딕"/>
        <family val="0"/>
        <charset val="1"/>
      </rPr>
      <t xml:space="preserve">42.5 MPa </t>
    </r>
    <r>
      <rPr>
        <sz val="10"/>
        <rFont val="맑은 고딕"/>
        <family val="2"/>
      </rPr>
      <t xml:space="preserve">미만</t>
    </r>
  </si>
  <si>
    <r>
      <rPr>
        <sz val="10"/>
        <rFont val="맑은 고딕"/>
        <family val="2"/>
      </rPr>
      <t xml:space="preserve">품질팀장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생산팀장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공장장</t>
    </r>
  </si>
  <si>
    <r>
      <rPr>
        <sz val="10"/>
        <rFont val="맑은 고딕"/>
        <family val="2"/>
      </rPr>
      <t xml:space="preserve">즉시</t>
    </r>
    <r>
      <rPr>
        <sz val="10"/>
        <rFont val="맑은 고딕"/>
        <family val="0"/>
        <charset val="1"/>
      </rPr>
      <t xml:space="preserve">(1</t>
    </r>
    <r>
      <rPr>
        <sz val="10"/>
        <rFont val="맑은 고딕"/>
        <family val="2"/>
      </rPr>
      <t xml:space="preserve">시간 내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출하 판정</t>
    </r>
  </si>
  <si>
    <r>
      <rPr>
        <sz val="10"/>
        <rFont val="맑은 고딕"/>
        <family val="2"/>
      </rPr>
      <t xml:space="preserve">메일</t>
    </r>
    <r>
      <rPr>
        <sz val="10"/>
        <rFont val="맑은 고딕"/>
        <family val="0"/>
        <charset val="1"/>
      </rPr>
      <t xml:space="preserve">+</t>
    </r>
    <r>
      <rPr>
        <sz val="10"/>
        <rFont val="맑은 고딕"/>
        <family val="2"/>
      </rPr>
      <t xml:space="preserve">메신저 즉시</t>
    </r>
  </si>
  <si>
    <t xml:space="preserve">🟠 경고</t>
  </si>
  <si>
    <r>
      <rPr>
        <sz val="10"/>
        <rFont val="맑은 고딕"/>
        <family val="2"/>
      </rPr>
      <t xml:space="preserve">사내 관리기준 이탈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시험조건</t>
    </r>
    <r>
      <rPr>
        <sz val="10"/>
        <rFont val="맑은 고딕"/>
        <family val="0"/>
        <charset val="1"/>
      </rPr>
      <t xml:space="preserve">(KS L ISO 679) </t>
    </r>
    <r>
      <rPr>
        <sz val="10"/>
        <rFont val="맑은 고딕"/>
        <family val="2"/>
      </rPr>
      <t xml:space="preserve">이탈 </t>
    </r>
    <r>
      <rPr>
        <sz val="10"/>
        <rFont val="맑은 고딕"/>
        <family val="0"/>
        <charset val="1"/>
      </rPr>
      <t xml:space="preserve">/ 28</t>
    </r>
    <r>
      <rPr>
        <sz val="10"/>
        <rFont val="맑은 고딕"/>
        <family val="2"/>
      </rPr>
      <t xml:space="preserve">일 예측치 사내기준 미달</t>
    </r>
  </si>
  <si>
    <r>
      <rPr>
        <sz val="10"/>
        <rFont val="맑은 고딕"/>
        <family val="0"/>
        <charset val="1"/>
      </rPr>
      <t xml:space="preserve">f-CaO 1.8% </t>
    </r>
    <r>
      <rPr>
        <sz val="10"/>
        <rFont val="맑은 고딕"/>
        <family val="2"/>
      </rPr>
      <t xml:space="preserve">초과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분말도 </t>
    </r>
    <r>
      <rPr>
        <sz val="10"/>
        <rFont val="맑은 고딕"/>
        <family val="0"/>
        <charset val="1"/>
      </rPr>
      <t xml:space="preserve">3,250 </t>
    </r>
    <r>
      <rPr>
        <sz val="10"/>
        <rFont val="맑은 고딕"/>
        <family val="2"/>
      </rPr>
      <t xml:space="preserve">미만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양생수 </t>
    </r>
    <r>
      <rPr>
        <sz val="10"/>
        <rFont val="맑은 고딕"/>
        <family val="0"/>
        <charset val="1"/>
      </rPr>
      <t xml:space="preserve">19~21 ℃ </t>
    </r>
    <r>
      <rPr>
        <sz val="10"/>
        <rFont val="맑은 고딕"/>
        <family val="2"/>
      </rPr>
      <t xml:space="preserve">이탈</t>
    </r>
  </si>
  <si>
    <r>
      <rPr>
        <sz val="10"/>
        <rFont val="맑은 고딕"/>
        <family val="2"/>
      </rPr>
      <t xml:space="preserve">품질 담당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해당 공정 담당</t>
    </r>
  </si>
  <si>
    <r>
      <rPr>
        <sz val="10"/>
        <rFont val="맑은 고딕"/>
        <family val="2"/>
      </rPr>
      <t xml:space="preserve">당일</t>
    </r>
    <r>
      <rPr>
        <sz val="10"/>
        <rFont val="맑은 고딕"/>
        <family val="0"/>
        <charset val="1"/>
      </rPr>
      <t xml:space="preserve">(8</t>
    </r>
    <r>
      <rPr>
        <sz val="10"/>
        <rFont val="맑은 고딕"/>
        <family val="2"/>
      </rPr>
      <t xml:space="preserve">시간 내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원인 조사</t>
    </r>
  </si>
  <si>
    <r>
      <rPr>
        <sz val="10"/>
        <rFont val="맑은 고딕"/>
        <family val="2"/>
      </rPr>
      <t xml:space="preserve">메일</t>
    </r>
    <r>
      <rPr>
        <sz val="10"/>
        <rFont val="맑은 고딕"/>
        <family val="0"/>
        <charset val="1"/>
      </rPr>
      <t xml:space="preserve">+</t>
    </r>
    <r>
      <rPr>
        <sz val="10"/>
        <rFont val="맑은 고딕"/>
        <family val="2"/>
      </rPr>
      <t xml:space="preserve">메신저</t>
    </r>
  </si>
  <si>
    <t xml:space="preserve">🟡 주의</t>
  </si>
  <si>
    <r>
      <rPr>
        <sz val="10"/>
        <rFont val="맑은 고딕"/>
        <family val="2"/>
      </rPr>
      <t xml:space="preserve">규격 이내이나 </t>
    </r>
    <r>
      <rPr>
        <sz val="10"/>
        <rFont val="맑은 고딕"/>
        <family val="0"/>
        <charset val="1"/>
      </rPr>
      <t xml:space="preserve">SPC </t>
    </r>
    <r>
      <rPr>
        <sz val="10"/>
        <rFont val="맑은 고딕"/>
        <family val="2"/>
      </rPr>
      <t xml:space="preserve">판정규칙 위반</t>
    </r>
    <r>
      <rPr>
        <sz val="10"/>
        <rFont val="맑은 고딕"/>
        <family val="0"/>
        <charset val="1"/>
      </rPr>
      <t xml:space="preserve">(8</t>
    </r>
    <r>
      <rPr>
        <sz val="10"/>
        <rFont val="맑은 고딕"/>
        <family val="2"/>
      </rPr>
      <t xml:space="preserve">시간 평균 기준 </t>
    </r>
    <r>
      <rPr>
        <sz val="10"/>
        <rFont val="맑은 고딕"/>
        <family val="0"/>
        <charset val="1"/>
      </rPr>
      <t xml:space="preserve">R1·R2·R3 </t>
    </r>
    <r>
      <rPr>
        <sz val="10"/>
        <rFont val="맑은 고딕"/>
        <family val="2"/>
      </rPr>
      <t xml:space="preserve">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</si>
  <si>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LSF 9</t>
    </r>
    <r>
      <rPr>
        <sz val="10"/>
        <rFont val="맑은 고딕"/>
        <family val="2"/>
      </rPr>
      <t xml:space="preserve">연속 중심선 위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평균 이동</t>
    </r>
    <r>
      <rPr>
        <sz val="10"/>
        <rFont val="맑은 고딕"/>
        <family val="0"/>
        <charset val="1"/>
      </rPr>
      <t xml:space="preserve">)</t>
    </r>
  </si>
  <si>
    <t xml:space="preserve">품질 담당</t>
  </si>
  <si>
    <r>
      <rPr>
        <sz val="10"/>
        <rFont val="맑은 고딕"/>
        <family val="0"/>
        <charset val="1"/>
      </rPr>
      <t xml:space="preserve">3</t>
    </r>
    <r>
      <rPr>
        <sz val="10"/>
        <rFont val="맑은 고딕"/>
        <family val="2"/>
      </rPr>
      <t xml:space="preserve">일 내 점검</t>
    </r>
  </si>
  <si>
    <r>
      <rPr>
        <sz val="10"/>
        <rFont val="맑은 고딕"/>
        <family val="2"/>
      </rPr>
      <t xml:space="preserve">대시보드 표시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기본 미발송</t>
    </r>
    <r>
      <rPr>
        <sz val="10"/>
        <rFont val="맑은 고딕"/>
        <family val="0"/>
        <charset val="1"/>
      </rPr>
      <t xml:space="preserve">)</t>
    </r>
  </si>
  <si>
    <t xml:space="preserve">공통</t>
  </si>
  <si>
    <r>
      <rPr>
        <sz val="10"/>
        <rFont val="맑은 고딕"/>
        <family val="2"/>
      </rPr>
      <t xml:space="preserve">같은 항목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품종에서 </t>
    </r>
    <r>
      <rPr>
        <sz val="10"/>
        <rFont val="맑은 고딕"/>
        <family val="0"/>
        <charset val="1"/>
      </rPr>
      <t xml:space="preserve">12</t>
    </r>
    <r>
      <rPr>
        <sz val="10"/>
        <rFont val="맑은 고딕"/>
        <family val="2"/>
      </rPr>
      <t xml:space="preserve">시간 이내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물성 </t>
    </r>
    <r>
      <rPr>
        <sz val="10"/>
        <rFont val="맑은 고딕"/>
        <family val="0"/>
        <charset val="1"/>
      </rPr>
      <t xml:space="preserve">3</t>
    </r>
    <r>
      <rPr>
        <sz val="10"/>
        <rFont val="맑은 고딕"/>
        <family val="2"/>
      </rPr>
      <t xml:space="preserve">일 이내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이어지는 위반점은 </t>
    </r>
    <r>
      <rPr>
        <sz val="10"/>
        <rFont val="맑은 고딕"/>
        <family val="0"/>
        <charset val="1"/>
      </rPr>
      <t xml:space="preserve">1</t>
    </r>
    <r>
      <rPr>
        <sz val="10"/>
        <rFont val="맑은 고딕"/>
        <family val="2"/>
      </rPr>
      <t xml:space="preserve">건으로 묶음</t>
    </r>
    <r>
      <rPr>
        <sz val="10"/>
        <rFont val="맑은 고딕"/>
        <family val="0"/>
        <charset val="1"/>
      </rPr>
      <t xml:space="preserve">. </t>
    </r>
    <r>
      <rPr>
        <sz val="10"/>
        <rFont val="맑은 고딕"/>
        <family val="2"/>
      </rPr>
      <t xml:space="preserve">규격 이탈과 겹치는 </t>
    </r>
    <r>
      <rPr>
        <sz val="10"/>
        <rFont val="맑은 고딕"/>
        <family val="0"/>
        <charset val="1"/>
      </rPr>
      <t xml:space="preserve">SPC </t>
    </r>
    <r>
      <rPr>
        <sz val="10"/>
        <rFont val="맑은 고딕"/>
        <family val="2"/>
      </rPr>
      <t xml:space="preserve">패턴은 </t>
    </r>
    <r>
      <rPr>
        <sz val="10"/>
        <rFont val="맑은 고딕"/>
        <family val="0"/>
        <charset val="1"/>
      </rPr>
      <t xml:space="preserve">'</t>
    </r>
    <r>
      <rPr>
        <sz val="10"/>
        <rFont val="맑은 고딕"/>
        <family val="2"/>
      </rPr>
      <t xml:space="preserve">동반 패턴</t>
    </r>
    <r>
      <rPr>
        <sz val="10"/>
        <rFont val="맑은 고딕"/>
        <family val="0"/>
        <charset val="1"/>
      </rPr>
      <t xml:space="preserve">'</t>
    </r>
    <r>
      <rPr>
        <sz val="10"/>
        <rFont val="맑은 고딕"/>
        <family val="2"/>
      </rPr>
      <t xml:space="preserve">으로 기록</t>
    </r>
  </si>
  <si>
    <t xml:space="preserve">알림 피로도 감소</t>
  </si>
  <si>
    <t xml:space="preserve">예측</t>
  </si>
  <si>
    <r>
      <rPr>
        <sz val="10"/>
        <rFont val="맑은 고딕"/>
        <family val="2"/>
      </rPr>
      <t xml:space="preserve">예측값은 실측이 아니므로 최고 심각도를 </t>
    </r>
    <r>
      <rPr>
        <sz val="10"/>
        <rFont val="맑은 고딕"/>
        <family val="0"/>
        <charset val="1"/>
      </rPr>
      <t xml:space="preserve">'</t>
    </r>
    <r>
      <rPr>
        <sz val="10"/>
        <rFont val="맑은 고딕"/>
        <family val="2"/>
      </rPr>
      <t xml:space="preserve">경고</t>
    </r>
    <r>
      <rPr>
        <sz val="10"/>
        <rFont val="맑은 고딕"/>
        <family val="0"/>
        <charset val="1"/>
      </rPr>
      <t xml:space="preserve">'</t>
    </r>
    <r>
      <rPr>
        <sz val="10"/>
        <rFont val="맑은 고딕"/>
        <family val="2"/>
      </rPr>
      <t xml:space="preserve">로 제한</t>
    </r>
  </si>
  <si>
    <r>
      <rPr>
        <sz val="10"/>
        <rFont val="맑은 고딕"/>
        <family val="0"/>
        <charset val="1"/>
      </rPr>
      <t xml:space="preserve">28</t>
    </r>
    <r>
      <rPr>
        <sz val="10"/>
        <rFont val="맑은 고딕"/>
        <family val="2"/>
      </rPr>
      <t xml:space="preserve">일 강도 예측 </t>
    </r>
    <r>
      <rPr>
        <sz val="10"/>
        <rFont val="맑은 고딕"/>
        <family val="0"/>
        <charset val="1"/>
      </rPr>
      <t xml:space="preserve">46 MPa → </t>
    </r>
    <r>
      <rPr>
        <sz val="10"/>
        <rFont val="맑은 고딕"/>
        <family val="2"/>
      </rPr>
      <t xml:space="preserve">경고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예측</t>
    </r>
    <r>
      <rPr>
        <sz val="10"/>
        <rFont val="맑은 고딕"/>
        <family val="0"/>
        <charset val="1"/>
      </rPr>
      <t xml:space="preserve">)</t>
    </r>
  </si>
  <si>
    <t xml:space="preserve">규칙</t>
  </si>
  <si>
    <t xml:space="preserve">의미</t>
  </si>
  <si>
    <t xml:space="preserve">기본 적용</t>
  </si>
  <si>
    <r>
      <rPr>
        <sz val="10"/>
        <rFont val="맑은 고딕"/>
        <family val="2"/>
      </rPr>
      <t xml:space="preserve">관리한계</t>
    </r>
    <r>
      <rPr>
        <sz val="10"/>
        <rFont val="맑은 고딕"/>
        <family val="0"/>
        <charset val="1"/>
      </rPr>
      <t xml:space="preserve">(±3σ) </t>
    </r>
    <r>
      <rPr>
        <sz val="10"/>
        <rFont val="맑은 고딕"/>
        <family val="2"/>
      </rPr>
      <t xml:space="preserve">이탈</t>
    </r>
  </si>
  <si>
    <r>
      <rPr>
        <sz val="10"/>
        <rFont val="맑은 고딕"/>
        <family val="2"/>
      </rPr>
      <t xml:space="preserve">돌발 이상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한 점이 관리한계 밖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</si>
  <si>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활성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기본</t>
    </r>
    <r>
      <rPr>
        <sz val="10"/>
        <rFont val="맑은 고딕"/>
        <family val="0"/>
        <charset val="1"/>
      </rPr>
      <t xml:space="preserve">)</t>
    </r>
  </si>
  <si>
    <t xml:space="preserve">R2</t>
  </si>
  <si>
    <r>
      <rPr>
        <sz val="10"/>
        <rFont val="맑은 고딕"/>
        <family val="2"/>
      </rPr>
      <t xml:space="preserve">중심선 한쪽 연속 </t>
    </r>
    <r>
      <rPr>
        <sz val="10"/>
        <rFont val="맑은 고딕"/>
        <family val="0"/>
        <charset val="1"/>
      </rPr>
      <t xml:space="preserve">9</t>
    </r>
    <r>
      <rPr>
        <sz val="10"/>
        <rFont val="맑은 고딕"/>
        <family val="2"/>
      </rPr>
      <t xml:space="preserve">점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평균 이동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</si>
  <si>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공정 평균의 이동</t>
    </r>
    <r>
      <rPr>
        <sz val="10"/>
        <rFont val="맑은 고딕"/>
        <family val="0"/>
        <charset val="1"/>
      </rPr>
      <t xml:space="preserve">(shift)</t>
    </r>
  </si>
  <si>
    <t xml:space="preserve">R3</t>
  </si>
  <si>
    <r>
      <rPr>
        <sz val="10"/>
        <rFont val="맑은 고딕"/>
        <family val="2"/>
      </rPr>
      <t xml:space="preserve">연속 </t>
    </r>
    <r>
      <rPr>
        <sz val="10"/>
        <rFont val="맑은 고딕"/>
        <family val="0"/>
        <charset val="1"/>
      </rPr>
      <t xml:space="preserve">6</t>
    </r>
    <r>
      <rPr>
        <sz val="10"/>
        <rFont val="맑은 고딕"/>
        <family val="2"/>
      </rPr>
      <t xml:space="preserve">점 상승</t>
    </r>
    <r>
      <rPr>
        <sz val="10"/>
        <rFont val="맑은 고딕"/>
        <family val="0"/>
        <charset val="1"/>
      </rPr>
      <t xml:space="preserve">/</t>
    </r>
    <r>
      <rPr>
        <sz val="10"/>
        <rFont val="맑은 고딕"/>
        <family val="2"/>
      </rPr>
      <t xml:space="preserve">하강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추세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</si>
  <si>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점진적 추세</t>
    </r>
    <r>
      <rPr>
        <sz val="10"/>
        <rFont val="맑은 고딕"/>
        <family val="0"/>
        <charset val="1"/>
      </rPr>
      <t xml:space="preserve">(drift)</t>
    </r>
  </si>
  <si>
    <t xml:space="preserve">R5</t>
  </si>
  <si>
    <r>
      <rPr>
        <sz val="10"/>
        <rFont val="맑은 고딕"/>
        <family val="0"/>
        <charset val="1"/>
      </rPr>
      <t xml:space="preserve">3</t>
    </r>
    <r>
      <rPr>
        <sz val="10"/>
        <rFont val="맑은 고딕"/>
        <family val="2"/>
      </rPr>
      <t xml:space="preserve">점 중 </t>
    </r>
    <r>
      <rPr>
        <sz val="10"/>
        <rFont val="맑은 고딕"/>
        <family val="0"/>
        <charset val="1"/>
      </rPr>
      <t xml:space="preserve">2</t>
    </r>
    <r>
      <rPr>
        <sz val="10"/>
        <rFont val="맑은 고딕"/>
        <family val="2"/>
      </rPr>
      <t xml:space="preserve">점 </t>
    </r>
    <r>
      <rPr>
        <sz val="10"/>
        <rFont val="맑은 고딕"/>
        <family val="0"/>
        <charset val="1"/>
      </rPr>
      <t xml:space="preserve">±2σ </t>
    </r>
    <r>
      <rPr>
        <sz val="10"/>
        <rFont val="맑은 고딕"/>
        <family val="2"/>
      </rPr>
      <t xml:space="preserve">밖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같은 쪽</t>
    </r>
    <r>
      <rPr>
        <sz val="10"/>
        <rFont val="맑은 고딕"/>
        <family val="0"/>
        <charset val="1"/>
      </rPr>
      <t xml:space="preserve">)</t>
    </r>
  </si>
  <si>
    <t xml:space="preserve">중간 크기의 평균 이동 조기 감지</t>
  </si>
  <si>
    <r>
      <rPr>
        <sz val="10"/>
        <rFont val="맑은 고딕"/>
        <family val="2"/>
      </rPr>
      <t xml:space="preserve">선택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설정 화면에서 활성화</t>
    </r>
    <r>
      <rPr>
        <sz val="10"/>
        <rFont val="맑은 고딕"/>
        <family val="0"/>
        <charset val="1"/>
      </rPr>
      <t xml:space="preserve">)</t>
    </r>
  </si>
  <si>
    <t xml:space="preserve">R6</t>
  </si>
  <si>
    <r>
      <rPr>
        <sz val="10"/>
        <rFont val="맑은 고딕"/>
        <family val="0"/>
        <charset val="1"/>
      </rPr>
      <t xml:space="preserve">5</t>
    </r>
    <r>
      <rPr>
        <sz val="10"/>
        <rFont val="맑은 고딕"/>
        <family val="2"/>
      </rPr>
      <t xml:space="preserve">점 중 </t>
    </r>
    <r>
      <rPr>
        <sz val="10"/>
        <rFont val="맑은 고딕"/>
        <family val="0"/>
        <charset val="1"/>
      </rPr>
      <t xml:space="preserve">4</t>
    </r>
    <r>
      <rPr>
        <sz val="10"/>
        <rFont val="맑은 고딕"/>
        <family val="2"/>
      </rPr>
      <t xml:space="preserve">점 </t>
    </r>
    <r>
      <rPr>
        <sz val="10"/>
        <rFont val="맑은 고딕"/>
        <family val="0"/>
        <charset val="1"/>
      </rPr>
      <t xml:space="preserve">±1σ </t>
    </r>
    <r>
      <rPr>
        <sz val="10"/>
        <rFont val="맑은 고딕"/>
        <family val="2"/>
      </rPr>
      <t xml:space="preserve">밖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같은 쪽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</si>
  <si>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작은 평균 이동 감지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허위경보 증가 주의</t>
    </r>
    <r>
      <rPr>
        <sz val="10"/>
        <rFont val="맑은 고딕"/>
        <family val="0"/>
        <charset val="1"/>
      </rPr>
      <t xml:space="preserve">)</t>
    </r>
  </si>
  <si>
    <r>
      <rPr>
        <sz val="10"/>
        <color rgb="FF5F6B73"/>
        <rFont val="맑은 고딕"/>
        <family val="2"/>
      </rPr>
      <t xml:space="preserve">※ 관리한계</t>
    </r>
    <r>
      <rPr>
        <sz val="10"/>
        <color rgb="FF5F6B73"/>
        <rFont val="맑은 고딕"/>
        <family val="0"/>
        <charset val="1"/>
      </rPr>
      <t xml:space="preserve">: </t>
    </r>
    <r>
      <rPr>
        <sz val="10"/>
        <color rgb="FF5F6B73"/>
        <rFont val="맑은 고딕"/>
        <family val="2"/>
      </rPr>
      <t xml:space="preserve">기준기간</t>
    </r>
    <r>
      <rPr>
        <sz val="10"/>
        <color rgb="FF5F6B73"/>
        <rFont val="맑은 고딕"/>
        <family val="0"/>
        <charset val="1"/>
      </rPr>
      <t xml:space="preserve">(</t>
    </r>
    <r>
      <rPr>
        <sz val="10"/>
        <color rgb="FF5F6B73"/>
        <rFont val="맑은 고딕"/>
        <family val="2"/>
      </rPr>
      <t xml:space="preserve">기본 데이터 시작 </t>
    </r>
    <r>
      <rPr>
        <sz val="10"/>
        <color rgb="FF5F6B73"/>
        <rFont val="맑은 고딕"/>
        <family val="0"/>
        <charset val="1"/>
      </rPr>
      <t xml:space="preserve">30</t>
    </r>
    <r>
      <rPr>
        <sz val="10"/>
        <color rgb="FF5F6B73"/>
        <rFont val="맑은 고딕"/>
        <family val="2"/>
      </rPr>
      <t xml:space="preserve">일</t>
    </r>
    <r>
      <rPr>
        <sz val="10"/>
        <color rgb="FF5F6B73"/>
        <rFont val="맑은 고딕"/>
        <family val="0"/>
        <charset val="1"/>
      </rPr>
      <t xml:space="preserve">) </t>
    </r>
    <r>
      <rPr>
        <sz val="10"/>
        <color rgb="FF5F6B73"/>
        <rFont val="맑은 고딕"/>
        <family val="2"/>
      </rPr>
      <t xml:space="preserve">평균 </t>
    </r>
    <r>
      <rPr>
        <sz val="10"/>
        <color rgb="FF5F6B73"/>
        <rFont val="맑은 고딕"/>
        <family val="0"/>
        <charset val="1"/>
      </rPr>
      <t xml:space="preserve">± 3σ, σ = </t>
    </r>
    <r>
      <rPr>
        <sz val="10"/>
        <color rgb="FF5F6B73"/>
        <rFont val="맑은 고딕"/>
        <family val="2"/>
      </rPr>
      <t xml:space="preserve">기준기간 표준편차</t>
    </r>
    <r>
      <rPr>
        <sz val="10"/>
        <color rgb="FF5F6B73"/>
        <rFont val="맑은 고딕"/>
        <family val="0"/>
        <charset val="1"/>
      </rPr>
      <t xml:space="preserve">(</t>
    </r>
    <r>
      <rPr>
        <sz val="10"/>
        <color rgb="FF5F6B73"/>
        <rFont val="맑은 고딕"/>
        <family val="2"/>
      </rPr>
      <t xml:space="preserve">자기상관 고려</t>
    </r>
    <r>
      <rPr>
        <sz val="10"/>
        <color rgb="FF5F6B73"/>
        <rFont val="맑은 고딕"/>
        <family val="0"/>
        <charset val="1"/>
      </rPr>
      <t xml:space="preserve">), </t>
    </r>
    <r>
      <rPr>
        <sz val="10"/>
        <color rgb="FF5F6B73"/>
        <rFont val="맑은 고딕"/>
        <family val="2"/>
      </rPr>
      <t xml:space="preserve">기준기간 내 </t>
    </r>
    <r>
      <rPr>
        <sz val="10"/>
        <color rgb="FF5F6B73"/>
        <rFont val="맑은 고딕"/>
        <family val="0"/>
        <charset val="1"/>
      </rPr>
      <t xml:space="preserve">3σ </t>
    </r>
    <r>
      <rPr>
        <sz val="10"/>
        <color rgb="FF5F6B73"/>
        <rFont val="맑은 고딕"/>
        <family val="2"/>
      </rPr>
      <t xml:space="preserve">밖 점은 </t>
    </r>
    <r>
      <rPr>
        <sz val="10"/>
        <color rgb="FF5F6B73"/>
        <rFont val="맑은 고딕"/>
        <family val="0"/>
        <charset val="1"/>
      </rPr>
      <t xml:space="preserve">1</t>
    </r>
    <r>
      <rPr>
        <sz val="10"/>
        <color rgb="FF5F6B73"/>
        <rFont val="맑은 고딕"/>
        <family val="2"/>
      </rPr>
      <t xml:space="preserve">회 제외</t>
    </r>
  </si>
  <si>
    <r>
      <rPr>
        <sz val="10"/>
        <color rgb="FF5F6B73"/>
        <rFont val="맑은 고딕"/>
        <family val="0"/>
        <charset val="1"/>
      </rPr>
      <t xml:space="preserve">※ 2</t>
    </r>
    <r>
      <rPr>
        <sz val="10"/>
        <color rgb="FF5F6B73"/>
        <rFont val="맑은 고딕"/>
        <family val="2"/>
      </rPr>
      <t xml:space="preserve">시간</t>
    </r>
    <r>
      <rPr>
        <sz val="10"/>
        <color rgb="FF5F6B73"/>
        <rFont val="맑은 고딕"/>
        <family val="0"/>
        <charset val="1"/>
      </rPr>
      <t xml:space="preserve">·1</t>
    </r>
    <r>
      <rPr>
        <sz val="10"/>
        <color rgb="FF5F6B73"/>
        <rFont val="맑은 고딕"/>
        <family val="2"/>
      </rPr>
      <t xml:space="preserve">시간 데이터는 </t>
    </r>
    <r>
      <rPr>
        <sz val="10"/>
        <color rgb="FF5F6B73"/>
        <rFont val="맑은 고딕"/>
        <family val="0"/>
        <charset val="1"/>
      </rPr>
      <t xml:space="preserve">8</t>
    </r>
    <r>
      <rPr>
        <sz val="10"/>
        <color rgb="FF5F6B73"/>
        <rFont val="맑은 고딕"/>
        <family val="2"/>
      </rPr>
      <t xml:space="preserve">시간</t>
    </r>
    <r>
      <rPr>
        <sz val="10"/>
        <color rgb="FF5F6B73"/>
        <rFont val="맑은 고딕"/>
        <family val="0"/>
        <charset val="1"/>
      </rPr>
      <t xml:space="preserve">(</t>
    </r>
    <r>
      <rPr>
        <sz val="10"/>
        <color rgb="FF5F6B73"/>
        <rFont val="맑은 고딕"/>
        <family val="2"/>
      </rPr>
      <t xml:space="preserve">근무조</t>
    </r>
    <r>
      <rPr>
        <sz val="10"/>
        <color rgb="FF5F6B73"/>
        <rFont val="맑은 고딕"/>
        <family val="0"/>
        <charset val="1"/>
      </rPr>
      <t xml:space="preserve">) </t>
    </r>
    <r>
      <rPr>
        <sz val="10"/>
        <color rgb="FF5F6B73"/>
        <rFont val="맑은 고딕"/>
        <family val="2"/>
      </rPr>
      <t xml:space="preserve">평균에 판정규칙 적용 — 원 데이터에 런 규칙을 적용하면 허위 경보 과다</t>
    </r>
  </si>
  <si>
    <r>
      <rPr>
        <sz val="10"/>
        <color rgb="FF5F6B73"/>
        <rFont val="맑은 고딕"/>
        <family val="2"/>
      </rPr>
      <t xml:space="preserve">※ 규격</t>
    </r>
    <r>
      <rPr>
        <sz val="10"/>
        <color rgb="FF5F6B73"/>
        <rFont val="맑은 고딕"/>
        <family val="0"/>
        <charset val="1"/>
      </rPr>
      <t xml:space="preserve">·</t>
    </r>
    <r>
      <rPr>
        <sz val="10"/>
        <color rgb="FF5F6B73"/>
        <rFont val="맑은 고딕"/>
        <family val="2"/>
      </rPr>
      <t xml:space="preserve">관리기준 이탈은 개별 측정값 기준으로 판정</t>
    </r>
  </si>
  <si>
    <r>
      <rPr>
        <sz val="10"/>
        <color rgb="FF5F6B73"/>
        <rFont val="맑은 고딕"/>
        <family val="2"/>
      </rPr>
      <t xml:space="preserve">※ 공정능력</t>
    </r>
    <r>
      <rPr>
        <sz val="10"/>
        <color rgb="FF5F6B73"/>
        <rFont val="맑은 고딕"/>
        <family val="0"/>
        <charset val="1"/>
      </rPr>
      <t xml:space="preserve">: Cpk = </t>
    </r>
    <r>
      <rPr>
        <sz val="10"/>
        <color rgb="FF5F6B73"/>
        <rFont val="맑은 고딕"/>
        <family val="2"/>
      </rPr>
      <t xml:space="preserve">군내변동</t>
    </r>
    <r>
      <rPr>
        <sz val="10"/>
        <color rgb="FF5F6B73"/>
        <rFont val="맑은 고딕"/>
        <family val="0"/>
        <charset val="1"/>
      </rPr>
      <t xml:space="preserve">(MR̄/1.128), Ppk = </t>
    </r>
    <r>
      <rPr>
        <sz val="10"/>
        <color rgb="FF5F6B73"/>
        <rFont val="맑은 고딕"/>
        <family val="2"/>
      </rPr>
      <t xml:space="preserve">전체 표준편차 — 관용 기준 </t>
    </r>
    <r>
      <rPr>
        <sz val="10"/>
        <color rgb="FF5F6B73"/>
        <rFont val="맑은 고딕"/>
        <family val="0"/>
        <charset val="1"/>
      </rPr>
      <t xml:space="preserve">1.33 </t>
    </r>
    <r>
      <rPr>
        <sz val="10"/>
        <color rgb="FF5F6B73"/>
        <rFont val="맑은 고딕"/>
        <family val="2"/>
      </rPr>
      <t xml:space="preserve">이상 충분</t>
    </r>
    <r>
      <rPr>
        <sz val="10"/>
        <color rgb="FF5F6B73"/>
        <rFont val="맑은 고딕"/>
        <family val="0"/>
        <charset val="1"/>
      </rPr>
      <t xml:space="preserve">, 1.0 </t>
    </r>
    <r>
      <rPr>
        <sz val="10"/>
        <color rgb="FF5F6B73"/>
        <rFont val="맑은 고딕"/>
        <family val="2"/>
      </rPr>
      <t xml:space="preserve">미만 개선 필요</t>
    </r>
  </si>
  <si>
    <r>
      <rPr>
        <b val="true"/>
        <sz val="10"/>
        <color rgb="FFFFFFFF"/>
        <rFont val="맑은 고딕"/>
        <family val="2"/>
      </rPr>
      <t xml:space="preserve">현상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맑은 고딕"/>
        <family val="2"/>
      </rPr>
      <t xml:space="preserve">항목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맑은 고딕"/>
        <family val="2"/>
      </rPr>
      <t xml:space="preserve">방향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</si>
  <si>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축</t>
  </si>
  <si>
    <t xml:space="preserve">원인 가설</t>
  </si>
  <si>
    <t xml:space="preserve">메커니즘</t>
  </si>
  <si>
    <t xml:space="preserve">자동 평가 데이터</t>
  </si>
  <si>
    <r>
      <rPr>
        <b val="true"/>
        <sz val="10"/>
        <color rgb="FFFFFFFF"/>
        <rFont val="맑은 고딕"/>
        <family val="2"/>
      </rPr>
      <t xml:space="preserve">확인 방법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맑은 고딕"/>
        <family val="2"/>
      </rPr>
      <t xml:space="preserve">데이터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맑은 고딕"/>
        <family val="2"/>
      </rPr>
      <t xml:space="preserve">시험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</si>
  <si>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단기 조치</t>
  </si>
  <si>
    <t xml:space="preserve">근본 대책</t>
  </si>
  <si>
    <t xml:space="preserve">근거 수준</t>
  </si>
  <si>
    <r>
      <rPr>
        <b val="true"/>
        <sz val="10"/>
        <color rgb="FFFFFFFF"/>
        <rFont val="맑은 고딕"/>
        <family val="2"/>
      </rPr>
      <t xml:space="preserve">담당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맑은 고딕"/>
        <family val="2"/>
      </rPr>
      <t xml:space="preserve">제안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</si>
  <si>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사전 가중치</t>
  </si>
  <si>
    <r>
      <rPr>
        <sz val="10"/>
        <rFont val="맑은 고딕"/>
        <family val="0"/>
        <charset val="1"/>
      </rPr>
      <t xml:space="preserve">28</t>
    </r>
    <r>
      <rPr>
        <sz val="10"/>
        <rFont val="맑은 고딕"/>
        <family val="2"/>
      </rPr>
      <t xml:space="preserve">일 압축강도 저하</t>
    </r>
  </si>
  <si>
    <r>
      <rPr>
        <sz val="10"/>
        <rFont val="맑은 고딕"/>
        <family val="2"/>
      </rPr>
      <t xml:space="preserve">분말도 저하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입도분포 조대화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분쇄 공정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</si>
  <si>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분말도는 수화 반응 표면적을 결정하며 특히 조기강도에 민감하다</t>
    </r>
    <r>
      <rPr>
        <sz val="10"/>
        <rFont val="맑은 고딕"/>
        <family val="0"/>
        <charset val="1"/>
      </rPr>
      <t xml:space="preserve">. </t>
    </r>
    <r>
      <rPr>
        <sz val="10"/>
        <rFont val="맑은 고딕"/>
        <family val="2"/>
      </rPr>
      <t xml:space="preserve">경험칙</t>
    </r>
    <r>
      <rPr>
        <sz val="10"/>
        <rFont val="맑은 고딕"/>
        <family val="0"/>
        <charset val="1"/>
      </rPr>
      <t xml:space="preserve">: Blaine 100 cm²/g </t>
    </r>
    <r>
      <rPr>
        <sz val="10"/>
        <rFont val="맑은 고딕"/>
        <family val="2"/>
      </rPr>
      <t xml:space="preserve">당 </t>
    </r>
    <r>
      <rPr>
        <sz val="10"/>
        <rFont val="맑은 고딕"/>
        <family val="0"/>
        <charset val="1"/>
      </rPr>
      <t xml:space="preserve">28</t>
    </r>
    <r>
      <rPr>
        <sz val="10"/>
        <rFont val="맑은 고딕"/>
        <family val="2"/>
      </rPr>
      <t xml:space="preserve">일 강도 약 </t>
    </r>
    <r>
      <rPr>
        <sz val="10"/>
        <rFont val="맑은 고딕"/>
        <family val="0"/>
        <charset val="1"/>
      </rPr>
      <t xml:space="preserve">0.5~1 MPa.</t>
    </r>
  </si>
  <si>
    <r>
      <rPr>
        <sz val="10"/>
        <rFont val="맑은 고딕"/>
        <family val="2"/>
      </rPr>
      <t xml:space="preserve">시멘트 분말도</t>
    </r>
    <r>
      <rPr>
        <sz val="10"/>
        <rFont val="맑은 고딕"/>
        <family val="0"/>
        <charset val="1"/>
      </rPr>
      <t xml:space="preserve">(Blaine)↓, </t>
    </r>
    <r>
      <rPr>
        <sz val="10"/>
        <rFont val="맑은 고딕"/>
        <family val="2"/>
      </rPr>
      <t xml:space="preserve">시멘트 </t>
    </r>
    <r>
      <rPr>
        <sz val="10"/>
        <rFont val="맑은 고딕"/>
        <family val="0"/>
        <charset val="1"/>
      </rPr>
      <t xml:space="preserve">45μm </t>
    </r>
    <r>
      <rPr>
        <sz val="10"/>
        <rFont val="맑은 고딕"/>
        <family val="2"/>
      </rPr>
      <t xml:space="preserve">잔사↑</t>
    </r>
  </si>
  <si>
    <r>
      <rPr>
        <sz val="10"/>
        <rFont val="맑은 고딕"/>
        <family val="0"/>
        <charset val="1"/>
      </rPr>
      <t xml:space="preserve">Blaine·45μm </t>
    </r>
    <r>
      <rPr>
        <sz val="10"/>
        <rFont val="맑은 고딕"/>
        <family val="2"/>
      </rPr>
      <t xml:space="preserve">잔사 재측정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레이저 입도분석</t>
    </r>
    <r>
      <rPr>
        <sz val="10"/>
        <rFont val="맑은 고딕"/>
        <family val="0"/>
        <charset val="1"/>
      </rPr>
      <t xml:space="preserve">(PSD, RRSB </t>
    </r>
    <r>
      <rPr>
        <sz val="10"/>
        <rFont val="맑은 고딕"/>
        <family val="2"/>
      </rPr>
      <t xml:space="preserve">균등계수 </t>
    </r>
    <r>
      <rPr>
        <sz val="10"/>
        <rFont val="맑은 고딕"/>
        <family val="0"/>
        <charset val="1"/>
      </rPr>
      <t xml:space="preserve">n) / </t>
    </r>
    <r>
      <rPr>
        <sz val="10"/>
        <rFont val="맑은 고딕"/>
        <family val="2"/>
      </rPr>
      <t xml:space="preserve">밀 운전 데이터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세퍼레이터 </t>
    </r>
    <r>
      <rPr>
        <sz val="10"/>
        <rFont val="맑은 고딕"/>
        <family val="0"/>
        <charset val="1"/>
      </rPr>
      <t xml:space="preserve">rpm·</t>
    </r>
    <r>
      <rPr>
        <sz val="10"/>
        <rFont val="맑은 고딕"/>
        <family val="2"/>
      </rPr>
      <t xml:space="preserve">순환부하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투입량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</si>
  <si>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세퍼레이터 속도 상향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밀 투입량 감량으로 분말도 회복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분말도 미달 구간 제품 출하 보류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재시험</t>
    </r>
  </si>
  <si>
    <r>
      <rPr>
        <sz val="10"/>
        <rFont val="맑은 고딕"/>
        <family val="2"/>
      </rPr>
      <t xml:space="preserve">분쇄 매체 충진율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마모 정기 관리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세퍼레이터 정비 주기 수립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분말도 자동제어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온라인 </t>
    </r>
    <r>
      <rPr>
        <sz val="10"/>
        <rFont val="맑은 고딕"/>
        <family val="0"/>
        <charset val="1"/>
      </rPr>
      <t xml:space="preserve">PSD </t>
    </r>
    <r>
      <rPr>
        <sz val="10"/>
        <rFont val="맑은 고딕"/>
        <family val="2"/>
      </rPr>
      <t xml:space="preserve">분석기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도입 검토</t>
    </r>
  </si>
  <si>
    <r>
      <rPr>
        <sz val="10"/>
        <rFont val="맑은 고딕"/>
        <family val="2"/>
      </rPr>
      <t xml:space="preserve">이론</t>
    </r>
    <r>
      <rPr>
        <sz val="10"/>
        <rFont val="맑은 고딕"/>
        <family val="0"/>
        <charset val="1"/>
      </rPr>
      <t xml:space="preserve">+</t>
    </r>
    <r>
      <rPr>
        <sz val="10"/>
        <rFont val="맑은 고딕"/>
        <family val="2"/>
      </rPr>
      <t xml:space="preserve">경험칙</t>
    </r>
  </si>
  <si>
    <r>
      <rPr>
        <sz val="10"/>
        <rFont val="맑은 고딕"/>
        <family val="2"/>
      </rPr>
      <t xml:space="preserve">생산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분쇄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</si>
  <si>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소성 부족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소성대 온도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열량 부족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</si>
  <si>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소성대 온도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체류시간 부족 시 </t>
    </r>
    <r>
      <rPr>
        <sz val="10"/>
        <rFont val="맑은 고딕"/>
        <family val="0"/>
        <charset val="1"/>
      </rPr>
      <t xml:space="preserve">C₂S + CaO → C₃S </t>
    </r>
    <r>
      <rPr>
        <sz val="10"/>
        <rFont val="맑은 고딕"/>
        <family val="2"/>
      </rPr>
      <t xml:space="preserve">반응이 완결되지 않아 </t>
    </r>
    <r>
      <rPr>
        <sz val="10"/>
        <rFont val="맑은 고딕"/>
        <family val="0"/>
        <charset val="1"/>
      </rPr>
      <t xml:space="preserve">f-CaO↑, C₃S↓, </t>
    </r>
    <r>
      <rPr>
        <sz val="10"/>
        <rFont val="맑은 고딕"/>
        <family val="2"/>
      </rPr>
      <t xml:space="preserve">클링커가 다공질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리터중량↓</t>
    </r>
    <r>
      <rPr>
        <sz val="10"/>
        <rFont val="맑은 고딕"/>
        <family val="0"/>
        <charset val="1"/>
      </rPr>
      <t xml:space="preserve">)</t>
    </r>
    <r>
      <rPr>
        <sz val="10"/>
        <rFont val="맑은 고딕"/>
        <family val="2"/>
      </rPr>
      <t xml:space="preserve">이 된다</t>
    </r>
    <r>
      <rPr>
        <sz val="10"/>
        <rFont val="맑은 고딕"/>
        <family val="0"/>
        <charset val="1"/>
      </rPr>
      <t xml:space="preserve">. </t>
    </r>
    <r>
      <rPr>
        <sz val="10"/>
        <rFont val="맑은 고딕"/>
        <family val="2"/>
      </rPr>
      <t xml:space="preserve">그 결과 강도가 저하된다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</si>
  <si>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클링커 자유석회</t>
    </r>
    <r>
      <rPr>
        <sz val="10"/>
        <rFont val="맑은 고딕"/>
        <family val="0"/>
        <charset val="1"/>
      </rPr>
      <t xml:space="preserve">(f-CaO)↑, </t>
    </r>
    <r>
      <rPr>
        <sz val="10"/>
        <rFont val="맑은 고딕"/>
        <family val="2"/>
      </rPr>
      <t xml:space="preserve">소성대 온도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파이로미터</t>
    </r>
    <r>
      <rPr>
        <sz val="10"/>
        <rFont val="맑은 고딕"/>
        <family val="0"/>
        <charset val="1"/>
      </rPr>
      <t xml:space="preserve">)↓, </t>
    </r>
    <r>
      <rPr>
        <sz val="10"/>
        <rFont val="맑은 고딕"/>
        <family val="2"/>
      </rPr>
      <t xml:space="preserve">클링커 리터중량↓</t>
    </r>
    <r>
      <rPr>
        <sz val="10"/>
        <rFont val="맑은 고딕"/>
        <family val="0"/>
        <charset val="1"/>
      </rPr>
      <t xml:space="preserve">, 2</t>
    </r>
    <r>
      <rPr>
        <sz val="10"/>
        <rFont val="맑은 고딕"/>
        <family val="2"/>
      </rPr>
      <t xml:space="preserve">차 공기 온도↓</t>
    </r>
  </si>
  <si>
    <r>
      <rPr>
        <sz val="10"/>
        <rFont val="맑은 고딕"/>
        <family val="2"/>
      </rPr>
      <t xml:space="preserve">킬른 운전 추이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소성대 온도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주모터 부하</t>
    </r>
    <r>
      <rPr>
        <sz val="10"/>
        <rFont val="맑은 고딕"/>
        <family val="0"/>
        <charset val="1"/>
      </rPr>
      <t xml:space="preserve">·2</t>
    </r>
    <r>
      <rPr>
        <sz val="10"/>
        <rFont val="맑은 고딕"/>
        <family val="2"/>
      </rPr>
      <t xml:space="preserve">차 공기 온도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확인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시간대별 </t>
    </r>
    <r>
      <rPr>
        <sz val="10"/>
        <rFont val="맑은 고딕"/>
        <family val="0"/>
        <charset val="1"/>
      </rPr>
      <t xml:space="preserve">f-CaO·</t>
    </r>
    <r>
      <rPr>
        <sz val="10"/>
        <rFont val="맑은 고딕"/>
        <family val="2"/>
      </rPr>
      <t xml:space="preserve">리터중량 대조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석탄 공업분석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발열량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회분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휘발분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수분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</si>
  <si>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f-CaO </t>
    </r>
    <r>
      <rPr>
        <sz val="10"/>
        <rFont val="맑은 고딕"/>
        <family val="2"/>
      </rPr>
      <t xml:space="preserve">기준 초과 클링커 분리 저장 또는 혼합 비율 제한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소성 강화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연료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버너 조정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및 원료 투입량 일시 감량</t>
    </r>
  </si>
  <si>
    <r>
      <rPr>
        <sz val="10"/>
        <rFont val="맑은 고딕"/>
        <family val="2"/>
      </rPr>
      <t xml:space="preserve">석탄 입고 품질 기준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발열량 하한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및 혼탄 관리 </t>
    </r>
    <r>
      <rPr>
        <sz val="10"/>
        <rFont val="맑은 고딕"/>
        <family val="0"/>
        <charset val="1"/>
      </rPr>
      <t xml:space="preserve">/ f-CaO </t>
    </r>
    <r>
      <rPr>
        <sz val="10"/>
        <rFont val="맑은 고딕"/>
        <family val="2"/>
      </rPr>
      <t xml:space="preserve">기반 소성 피드백 운전 기준서 수립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버너 화염 형상 점검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개선</t>
    </r>
  </si>
  <si>
    <r>
      <rPr>
        <sz val="10"/>
        <rFont val="맑은 고딕"/>
        <family val="2"/>
      </rPr>
      <t xml:space="preserve">생산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소성</t>
    </r>
    <r>
      <rPr>
        <sz val="10"/>
        <rFont val="맑은 고딕"/>
        <family val="0"/>
        <charset val="1"/>
      </rPr>
      <t xml:space="preserve">)</t>
    </r>
  </si>
  <si>
    <t xml:space="preserve">화학</t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</si>
  <si>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C₃S </t>
    </r>
    <r>
      <rPr>
        <sz val="10"/>
        <rFont val="맑은 고딕"/>
        <family val="2"/>
      </rPr>
      <t xml:space="preserve">저하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광물 조성 변화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</si>
  <si>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C₃S(</t>
    </r>
    <r>
      <rPr>
        <sz val="10"/>
        <rFont val="맑은 고딕"/>
        <family val="2"/>
      </rPr>
      <t xml:space="preserve">알라이트</t>
    </r>
    <r>
      <rPr>
        <sz val="10"/>
        <rFont val="맑은 고딕"/>
        <family val="0"/>
        <charset val="1"/>
      </rPr>
      <t xml:space="preserve">)</t>
    </r>
    <r>
      <rPr>
        <sz val="10"/>
        <rFont val="맑은 고딕"/>
        <family val="2"/>
      </rPr>
      <t xml:space="preserve">는 </t>
    </r>
    <r>
      <rPr>
        <sz val="10"/>
        <rFont val="맑은 고딕"/>
        <family val="0"/>
        <charset val="1"/>
      </rPr>
      <t xml:space="preserve">3~28</t>
    </r>
    <r>
      <rPr>
        <sz val="10"/>
        <rFont val="맑은 고딕"/>
        <family val="2"/>
      </rPr>
      <t xml:space="preserve">일 강도의 주 기여 광물이다</t>
    </r>
    <r>
      <rPr>
        <sz val="10"/>
        <rFont val="맑은 고딕"/>
        <family val="0"/>
        <charset val="1"/>
      </rPr>
      <t xml:space="preserve">. </t>
    </r>
    <r>
      <rPr>
        <sz val="10"/>
        <rFont val="맑은 고딕"/>
        <family val="2"/>
      </rPr>
      <t xml:space="preserve">경험칙</t>
    </r>
    <r>
      <rPr>
        <sz val="10"/>
        <rFont val="맑은 고딕"/>
        <family val="0"/>
        <charset val="1"/>
      </rPr>
      <t xml:space="preserve">: C₃S 1%p </t>
    </r>
    <r>
      <rPr>
        <sz val="10"/>
        <rFont val="맑은 고딕"/>
        <family val="2"/>
      </rPr>
      <t xml:space="preserve">감소 시 </t>
    </r>
    <r>
      <rPr>
        <sz val="10"/>
        <rFont val="맑은 고딕"/>
        <family val="0"/>
        <charset val="1"/>
      </rPr>
      <t xml:space="preserve">28</t>
    </r>
    <r>
      <rPr>
        <sz val="10"/>
        <rFont val="맑은 고딕"/>
        <family val="2"/>
      </rPr>
      <t xml:space="preserve">일 강도 약 </t>
    </r>
    <r>
      <rPr>
        <sz val="10"/>
        <rFont val="맑은 고딕"/>
        <family val="0"/>
        <charset val="1"/>
      </rPr>
      <t xml:space="preserve">0.3~0.5 MPa </t>
    </r>
    <r>
      <rPr>
        <sz val="10"/>
        <rFont val="맑은 고딕"/>
        <family val="2"/>
      </rPr>
      <t xml:space="preserve">감소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공장별 상이 — 자체 회귀분석으로 확인 필요</t>
    </r>
    <r>
      <rPr>
        <sz val="10"/>
        <rFont val="맑은 고딕"/>
        <family val="0"/>
        <charset val="1"/>
      </rPr>
      <t xml:space="preserve">).</t>
    </r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</si>
  <si>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C₃S(Bogue)↓, </t>
    </r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LSF↓</t>
    </r>
  </si>
  <si>
    <r>
      <rPr>
        <sz val="10"/>
        <rFont val="맑은 고딕"/>
        <family val="2"/>
      </rPr>
      <t xml:space="preserve">해당 기간 클링커 </t>
    </r>
    <r>
      <rPr>
        <sz val="10"/>
        <rFont val="맑은 고딕"/>
        <family val="0"/>
        <charset val="1"/>
      </rPr>
      <t xml:space="preserve">XRF </t>
    </r>
    <r>
      <rPr>
        <sz val="10"/>
        <rFont val="맑은 고딕"/>
        <family val="2"/>
      </rPr>
      <t xml:space="preserve">재분석</t>
    </r>
    <r>
      <rPr>
        <sz val="10"/>
        <rFont val="맑은 고딕"/>
        <family val="0"/>
        <charset val="1"/>
      </rPr>
      <t xml:space="preserve">·Bogue C₃S </t>
    </r>
    <r>
      <rPr>
        <sz val="10"/>
        <rFont val="맑은 고딕"/>
        <family val="2"/>
      </rPr>
      <t xml:space="preserve">확인 </t>
    </r>
    <r>
      <rPr>
        <sz val="10"/>
        <rFont val="맑은 고딕"/>
        <family val="0"/>
        <charset val="1"/>
      </rPr>
      <t xml:space="preserve">/ XRD-Rietveld </t>
    </r>
    <r>
      <rPr>
        <sz val="10"/>
        <rFont val="맑은 고딕"/>
        <family val="2"/>
      </rPr>
      <t xml:space="preserve">정량으로 </t>
    </r>
    <r>
      <rPr>
        <sz val="10"/>
        <rFont val="맑은 고딕"/>
        <family val="0"/>
        <charset val="1"/>
      </rPr>
      <t xml:space="preserve">C₃S/C₂S </t>
    </r>
    <r>
      <rPr>
        <sz val="10"/>
        <rFont val="맑은 고딕"/>
        <family val="2"/>
      </rPr>
      <t xml:space="preserve">실측</t>
    </r>
    <r>
      <rPr>
        <sz val="10"/>
        <rFont val="맑은 고딕"/>
        <family val="0"/>
        <charset val="1"/>
      </rPr>
      <t xml:space="preserve">(Bogue</t>
    </r>
    <r>
      <rPr>
        <sz val="10"/>
        <rFont val="맑은 고딕"/>
        <family val="2"/>
      </rPr>
      <t xml:space="preserve">와 편차 확인</t>
    </r>
    <r>
      <rPr>
        <sz val="10"/>
        <rFont val="맑은 고딕"/>
        <family val="0"/>
        <charset val="1"/>
      </rPr>
      <t xml:space="preserve">) / </t>
    </r>
    <r>
      <rPr>
        <sz val="10"/>
        <rFont val="맑은 고딕"/>
        <family val="2"/>
      </rPr>
      <t xml:space="preserve">클링커 현미경 관찰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알라이트 크기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형태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벨라이트 군집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</si>
  <si>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분말도 상향</t>
    </r>
    <r>
      <rPr>
        <sz val="10"/>
        <rFont val="맑은 고딕"/>
        <family val="0"/>
        <charset val="1"/>
      </rPr>
      <t xml:space="preserve">(+100~150 cm²/g)</t>
    </r>
    <r>
      <rPr>
        <sz val="10"/>
        <rFont val="맑은 고딕"/>
        <family val="2"/>
      </rPr>
      <t xml:space="preserve">으로 강도 보상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밀 생산성 저하 감수</t>
    </r>
    <r>
      <rPr>
        <sz val="10"/>
        <rFont val="맑은 고딕"/>
        <family val="0"/>
        <charset val="1"/>
      </rPr>
      <t xml:space="preserve">) / </t>
    </r>
    <r>
      <rPr>
        <sz val="10"/>
        <rFont val="맑은 고딕"/>
        <family val="2"/>
      </rPr>
      <t xml:space="preserve">해당 클링커 사용 제품의 </t>
    </r>
    <r>
      <rPr>
        <sz val="10"/>
        <rFont val="맑은 고딕"/>
        <family val="0"/>
        <charset val="1"/>
      </rPr>
      <t xml:space="preserve">3·7</t>
    </r>
    <r>
      <rPr>
        <sz val="10"/>
        <rFont val="맑은 고딕"/>
        <family val="2"/>
      </rPr>
      <t xml:space="preserve">일 강도 추적 강화</t>
    </r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</si>
  <si>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LSF </t>
    </r>
    <r>
      <rPr>
        <sz val="10"/>
        <rFont val="맑은 고딕"/>
        <family val="2"/>
      </rPr>
      <t xml:space="preserve">목표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변동</t>
    </r>
    <r>
      <rPr>
        <sz val="10"/>
        <rFont val="맑은 고딕"/>
        <family val="0"/>
        <charset val="1"/>
      </rPr>
      <t xml:space="preserve">(σ) </t>
    </r>
    <r>
      <rPr>
        <sz val="10"/>
        <rFont val="맑은 고딕"/>
        <family val="2"/>
      </rPr>
      <t xml:space="preserve">관리 강화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소성 운전 기준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소성대 온도</t>
    </r>
    <r>
      <rPr>
        <sz val="10"/>
        <rFont val="맑은 고딕"/>
        <family val="0"/>
        <charset val="1"/>
      </rPr>
      <t xml:space="preserve">·O₂·f-CaO </t>
    </r>
    <r>
      <rPr>
        <sz val="10"/>
        <rFont val="맑은 고딕"/>
        <family val="2"/>
      </rPr>
      <t xml:space="preserve">피드백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표준화</t>
    </r>
  </si>
  <si>
    <t xml:space="preserve">품질</t>
  </si>
  <si>
    <r>
      <rPr>
        <sz val="10"/>
        <rFont val="맑은 고딕"/>
        <family val="0"/>
        <charset val="1"/>
      </rPr>
      <t xml:space="preserve">SO₃(</t>
    </r>
    <r>
      <rPr>
        <sz val="10"/>
        <rFont val="맑은 고딕"/>
        <family val="2"/>
      </rPr>
      <t xml:space="preserve">석고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최적치 이탈</t>
    </r>
  </si>
  <si>
    <r>
      <rPr>
        <sz val="10"/>
        <rFont val="맑은 고딕"/>
        <family val="0"/>
        <charset val="1"/>
      </rPr>
      <t xml:space="preserve">SO₃</t>
    </r>
    <r>
      <rPr>
        <sz val="10"/>
        <rFont val="맑은 고딕"/>
        <family val="2"/>
      </rPr>
      <t xml:space="preserve">가 최적치에서 벗어나면 </t>
    </r>
    <r>
      <rPr>
        <sz val="10"/>
        <rFont val="맑은 고딕"/>
        <family val="0"/>
        <charset val="1"/>
      </rPr>
      <t xml:space="preserve">C₃A </t>
    </r>
    <r>
      <rPr>
        <sz val="10"/>
        <rFont val="맑은 고딕"/>
        <family val="2"/>
      </rPr>
      <t xml:space="preserve">수화 제어가 부적절해져 강도가 저하된다</t>
    </r>
    <r>
      <rPr>
        <sz val="10"/>
        <rFont val="맑은 고딕"/>
        <family val="0"/>
        <charset val="1"/>
      </rPr>
      <t xml:space="preserve">. </t>
    </r>
    <r>
      <rPr>
        <sz val="10"/>
        <rFont val="맑은 고딕"/>
        <family val="2"/>
      </rPr>
      <t xml:space="preserve">과다 시 응결 지연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지연 팽창 위험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부족 시 급결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조기강도 저하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</si>
  <si>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시멘트 </t>
    </r>
    <r>
      <rPr>
        <sz val="10"/>
        <rFont val="맑은 고딕"/>
        <family val="0"/>
        <charset val="1"/>
      </rPr>
      <t xml:space="preserve">SO₃ </t>
    </r>
    <r>
      <rPr>
        <sz val="10"/>
        <rFont val="맑은 고딕"/>
        <family val="2"/>
      </rPr>
      <t xml:space="preserve">목표편차↑</t>
    </r>
  </si>
  <si>
    <r>
      <rPr>
        <sz val="10"/>
        <rFont val="맑은 고딕"/>
        <family val="0"/>
        <charset val="1"/>
      </rPr>
      <t xml:space="preserve">SO₃ </t>
    </r>
    <r>
      <rPr>
        <sz val="10"/>
        <rFont val="맑은 고딕"/>
        <family val="2"/>
      </rPr>
      <t xml:space="preserve">재분석</t>
    </r>
    <r>
      <rPr>
        <sz val="10"/>
        <rFont val="맑은 고딕"/>
        <family val="0"/>
        <charset val="1"/>
      </rPr>
      <t xml:space="preserve">(XRF ↔ </t>
    </r>
    <r>
      <rPr>
        <sz val="10"/>
        <rFont val="맑은 고딕"/>
        <family val="2"/>
      </rPr>
      <t xml:space="preserve">중량법 </t>
    </r>
    <r>
      <rPr>
        <sz val="10"/>
        <rFont val="맑은 고딕"/>
        <family val="0"/>
        <charset val="1"/>
      </rPr>
      <t xml:space="preserve">KS L 5120 </t>
    </r>
    <r>
      <rPr>
        <sz val="10"/>
        <rFont val="맑은 고딕"/>
        <family val="2"/>
      </rPr>
      <t xml:space="preserve">교차</t>
    </r>
    <r>
      <rPr>
        <sz val="10"/>
        <rFont val="맑은 고딕"/>
        <family val="0"/>
        <charset val="1"/>
      </rPr>
      <t xml:space="preserve">) / </t>
    </r>
    <r>
      <rPr>
        <sz val="10"/>
        <rFont val="맑은 고딕"/>
        <family val="2"/>
      </rPr>
      <t xml:space="preserve">석고 정량공급기 실적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설정 대비 실제</t>
    </r>
    <r>
      <rPr>
        <sz val="10"/>
        <rFont val="맑은 고딕"/>
        <family val="0"/>
        <charset val="1"/>
      </rPr>
      <t xml:space="preserve">) / SO₃ </t>
    </r>
    <r>
      <rPr>
        <sz val="10"/>
        <rFont val="맑은 고딕"/>
        <family val="2"/>
      </rPr>
      <t xml:space="preserve">수준별 모르타르 강도 최적화 시험</t>
    </r>
  </si>
  <si>
    <r>
      <rPr>
        <sz val="10"/>
        <rFont val="맑은 고딕"/>
        <family val="2"/>
      </rPr>
      <t xml:space="preserve">석고 투입 설정 복귀 및 공급기 점검 </t>
    </r>
    <r>
      <rPr>
        <sz val="10"/>
        <rFont val="맑은 고딕"/>
        <family val="0"/>
        <charset val="1"/>
      </rPr>
      <t xml:space="preserve">/ SO₃ </t>
    </r>
    <r>
      <rPr>
        <sz val="10"/>
        <rFont val="맑은 고딕"/>
        <family val="2"/>
      </rPr>
      <t xml:space="preserve">이탈 구간 제품 분리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추가 시험</t>
    </r>
  </si>
  <si>
    <r>
      <rPr>
        <sz val="10"/>
        <rFont val="맑은 고딕"/>
        <family val="2"/>
      </rPr>
      <t xml:space="preserve">석고 공급기 정기 교정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막힘 감지 알람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품종별 최적 </t>
    </r>
    <r>
      <rPr>
        <sz val="10"/>
        <rFont val="맑은 고딕"/>
        <family val="0"/>
        <charset val="1"/>
      </rPr>
      <t xml:space="preserve">SO₃ </t>
    </r>
    <r>
      <rPr>
        <sz val="10"/>
        <rFont val="맑은 고딕"/>
        <family val="2"/>
      </rPr>
      <t xml:space="preserve">정기 재설정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분기 </t>
    </r>
    <r>
      <rPr>
        <sz val="10"/>
        <rFont val="맑은 고딕"/>
        <family val="0"/>
        <charset val="1"/>
      </rPr>
      <t xml:space="preserve">1</t>
    </r>
    <r>
      <rPr>
        <sz val="10"/>
        <rFont val="맑은 고딕"/>
        <family val="2"/>
      </rPr>
      <t xml:space="preserve">회</t>
    </r>
    <r>
      <rPr>
        <sz val="10"/>
        <rFont val="맑은 고딕"/>
        <family val="0"/>
        <charset val="1"/>
      </rPr>
      <t xml:space="preserve">)</t>
    </r>
  </si>
  <si>
    <t xml:space="preserve">시험오차</t>
  </si>
  <si>
    <r>
      <rPr>
        <sz val="10"/>
        <rFont val="맑은 고딕"/>
        <family val="0"/>
        <charset val="1"/>
      </rPr>
      <t xml:space="preserve">28</t>
    </r>
    <r>
      <rPr>
        <sz val="10"/>
        <rFont val="맑은 고딕"/>
        <family val="2"/>
      </rPr>
      <t xml:space="preserve">일 강도 시험 조건 이탈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시험 오차</t>
    </r>
  </si>
  <si>
    <r>
      <rPr>
        <sz val="10"/>
        <rFont val="맑은 고딕"/>
        <family val="2"/>
      </rPr>
      <t xml:space="preserve">강도는 양생 온도</t>
    </r>
    <r>
      <rPr>
        <sz val="10"/>
        <rFont val="맑은 고딕"/>
        <family val="0"/>
        <charset val="1"/>
      </rPr>
      <t xml:space="preserve">(20±1 ℃)·</t>
    </r>
    <r>
      <rPr>
        <sz val="10"/>
        <rFont val="맑은 고딕"/>
        <family val="2"/>
      </rPr>
      <t xml:space="preserve">시험실 조건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공시체 성형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재하 속도에 민감하다</t>
    </r>
    <r>
      <rPr>
        <sz val="10"/>
        <rFont val="맑은 고딕"/>
        <family val="0"/>
        <charset val="1"/>
      </rPr>
      <t xml:space="preserve">(KS L ISO 679). </t>
    </r>
    <r>
      <rPr>
        <sz val="10"/>
        <rFont val="맑은 고딕"/>
        <family val="2"/>
      </rPr>
      <t xml:space="preserve">조기강도와 화학 성분이 정상인데 특정 재령만 낮으면 시험오차 가능성이 높다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</si>
  <si>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28</t>
    </r>
    <r>
      <rPr>
        <sz val="10"/>
        <rFont val="맑은 고딕"/>
        <family val="2"/>
      </rPr>
      <t xml:space="preserve">일 실측−조기강도 예측 잔차↓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양생수 온도 기준 이탈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시험실 온도 기준 이탈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시험실 상대습도 기준 이탈</t>
    </r>
    <r>
      <rPr>
        <sz val="10"/>
        <rFont val="맑은 고딕"/>
        <family val="0"/>
        <charset val="1"/>
      </rPr>
      <t xml:space="preserve">, sand_lot </t>
    </r>
    <r>
      <rPr>
        <sz val="10"/>
        <rFont val="맑은 고딕"/>
        <family val="2"/>
      </rPr>
      <t xml:space="preserve">변경</t>
    </r>
  </si>
  <si>
    <r>
      <rPr>
        <sz val="10"/>
        <rFont val="맑은 고딕"/>
        <family val="2"/>
      </rPr>
      <t xml:space="preserve">양생수조 온도 기록 확인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예비 공시체 재시험 또는 보관 시료 재성형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재하 속도</t>
    </r>
    <r>
      <rPr>
        <sz val="10"/>
        <rFont val="맑은 고딕"/>
        <family val="0"/>
        <charset val="1"/>
      </rPr>
      <t xml:space="preserve">(2,400±200 N/s) </t>
    </r>
    <r>
      <rPr>
        <sz val="10"/>
        <rFont val="맑은 고딕"/>
        <family val="2"/>
      </rPr>
      <t xml:space="preserve">및 시험기 교정 상태 확인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표준사 </t>
    </r>
    <r>
      <rPr>
        <sz val="10"/>
        <rFont val="맑은 고딕"/>
        <family val="0"/>
        <charset val="1"/>
      </rPr>
      <t xml:space="preserve">Lot·</t>
    </r>
    <r>
      <rPr>
        <sz val="10"/>
        <rFont val="맑은 고딕"/>
        <family val="2"/>
      </rPr>
      <t xml:space="preserve">성형자 변경 여부 확인</t>
    </r>
  </si>
  <si>
    <r>
      <rPr>
        <sz val="10"/>
        <rFont val="맑은 고딕"/>
        <family val="2"/>
      </rPr>
      <t xml:space="preserve">해당 로트 결과 보류 후 재시험으로 확정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양생수조 온도 제어기 점검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수리</t>
    </r>
  </si>
  <si>
    <r>
      <rPr>
        <sz val="10"/>
        <rFont val="맑은 고딕"/>
        <family val="2"/>
      </rPr>
      <t xml:space="preserve">양생조 온도 자동기록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이탈 알람</t>
    </r>
    <r>
      <rPr>
        <sz val="10"/>
        <rFont val="맑은 고딕"/>
        <family val="0"/>
        <charset val="1"/>
      </rPr>
      <t xml:space="preserve">(±1 ℃) / </t>
    </r>
    <r>
      <rPr>
        <sz val="10"/>
        <rFont val="맑은 고딕"/>
        <family val="2"/>
      </rPr>
      <t xml:space="preserve">시험자 간 비교시험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숙련도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정기 실시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시험기 정기 교정 관리</t>
    </r>
  </si>
  <si>
    <r>
      <rPr>
        <sz val="10"/>
        <rFont val="맑은 고딕"/>
        <family val="2"/>
      </rPr>
      <t xml:space="preserve">규격</t>
    </r>
    <r>
      <rPr>
        <sz val="10"/>
        <rFont val="맑은 고딕"/>
        <family val="0"/>
        <charset val="1"/>
      </rPr>
      <t xml:space="preserve">+</t>
    </r>
    <r>
      <rPr>
        <sz val="10"/>
        <rFont val="맑은 고딕"/>
        <family val="2"/>
      </rPr>
      <t xml:space="preserve">경험칙</t>
    </r>
  </si>
  <si>
    <r>
      <rPr>
        <sz val="10"/>
        <rFont val="맑은 고딕"/>
        <family val="2"/>
      </rPr>
      <t xml:space="preserve">품질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시험실</t>
    </r>
    <r>
      <rPr>
        <sz val="10"/>
        <rFont val="맑은 고딕"/>
        <family val="0"/>
        <charset val="1"/>
      </rPr>
      <t xml:space="preserve">)</t>
    </r>
  </si>
  <si>
    <t xml:space="preserve">원료</t>
  </si>
  <si>
    <r>
      <rPr>
        <sz val="10"/>
        <rFont val="맑은 고딕"/>
        <family val="2"/>
      </rPr>
      <t xml:space="preserve">생료 화학 변동 증가</t>
    </r>
    <r>
      <rPr>
        <sz val="10"/>
        <rFont val="맑은 고딕"/>
        <family val="0"/>
        <charset val="1"/>
      </rPr>
      <t xml:space="preserve">(LSF </t>
    </r>
    <r>
      <rPr>
        <sz val="10"/>
        <rFont val="맑은 고딕"/>
        <family val="2"/>
      </rPr>
      <t xml:space="preserve">변동성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</si>
  <si>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LSF </t>
    </r>
    <r>
      <rPr>
        <sz val="10"/>
        <rFont val="맑은 고딕"/>
        <family val="2"/>
      </rPr>
      <t xml:space="preserve">변동이 크면 과소성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소성부족 구간이 혼재해 클링커 품질 편차가 커지고 평균 강도가 낮아진다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</si>
  <si>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LSF </t>
    </r>
    <r>
      <rPr>
        <sz val="10"/>
        <rFont val="맑은 고딕"/>
        <family val="2"/>
      </rPr>
      <t xml:space="preserve">변동↑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LSF </t>
    </r>
    <r>
      <rPr>
        <sz val="10"/>
        <rFont val="맑은 고딕"/>
        <family val="2"/>
      </rPr>
      <t xml:space="preserve">변동↑</t>
    </r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</si>
  <si>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LSF </t>
    </r>
    <r>
      <rPr>
        <sz val="10"/>
        <rFont val="맑은 고딕"/>
        <family val="2"/>
      </rPr>
      <t xml:space="preserve">시간대별 표준편차 확인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혼합사일로 레벨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혼합효과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입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출 </t>
    </r>
    <r>
      <rPr>
        <sz val="10"/>
        <rFont val="맑은 고딕"/>
        <family val="0"/>
        <charset val="1"/>
      </rPr>
      <t xml:space="preserve">σ </t>
    </r>
    <r>
      <rPr>
        <sz val="10"/>
        <rFont val="맑은 고딕"/>
        <family val="2"/>
      </rPr>
      <t xml:space="preserve">비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확인</t>
    </r>
  </si>
  <si>
    <r>
      <rPr>
        <sz val="10"/>
        <rFont val="맑은 고딕"/>
        <family val="2"/>
      </rPr>
      <t xml:space="preserve">원료 조합 제어 게인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샘플링 주기 점검</t>
    </r>
  </si>
  <si>
    <r>
      <rPr>
        <sz val="10"/>
        <rFont val="맑은 고딕"/>
        <family val="2"/>
      </rPr>
      <t xml:space="preserve">원료 예비균질화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파일링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운영 개선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원료밀 조합제어</t>
    </r>
    <r>
      <rPr>
        <sz val="10"/>
        <rFont val="맑은 고딕"/>
        <family val="0"/>
        <charset val="1"/>
      </rPr>
      <t xml:space="preserve">(XRF </t>
    </r>
    <r>
      <rPr>
        <sz val="10"/>
        <rFont val="맑은 고딕"/>
        <family val="2"/>
      </rPr>
      <t xml:space="preserve">온라인 피드백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고도화</t>
    </r>
  </si>
  <si>
    <t xml:space="preserve">경험칙</t>
  </si>
  <si>
    <r>
      <rPr>
        <sz val="10"/>
        <rFont val="맑은 고딕"/>
        <family val="2"/>
      </rPr>
      <t xml:space="preserve">생산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원료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</si>
  <si>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혼합재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석회석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과다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클링커 풍화</t>
    </r>
  </si>
  <si>
    <r>
      <rPr>
        <sz val="10"/>
        <rFont val="맑은 고딕"/>
        <family val="2"/>
      </rPr>
      <t xml:space="preserve">소량혼합성분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석회석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증가 시 희석효과로 강도가 낮아진다</t>
    </r>
    <r>
      <rPr>
        <sz val="10"/>
        <rFont val="맑은 고딕"/>
        <family val="0"/>
        <charset val="1"/>
      </rPr>
      <t xml:space="preserve">. </t>
    </r>
    <r>
      <rPr>
        <sz val="10"/>
        <rFont val="맑은 고딕"/>
        <family val="2"/>
      </rPr>
      <t xml:space="preserve">강열감량 상승은 클링커 풍화</t>
    </r>
    <r>
      <rPr>
        <sz val="10"/>
        <rFont val="맑은 고딕"/>
        <family val="0"/>
        <charset val="1"/>
      </rPr>
      <t xml:space="preserve">(prehydration)·</t>
    </r>
    <r>
      <rPr>
        <sz val="10"/>
        <rFont val="맑은 고딕"/>
        <family val="2"/>
      </rPr>
      <t xml:space="preserve">석고 결정수 영향일 수도 있다</t>
    </r>
    <r>
      <rPr>
        <sz val="10"/>
        <rFont val="맑은 고딕"/>
        <family val="0"/>
        <charset val="1"/>
      </rPr>
      <t xml:space="preserve">.</t>
    </r>
  </si>
  <si>
    <t xml:space="preserve">시멘트 강열감량↑</t>
  </si>
  <si>
    <r>
      <rPr>
        <sz val="10"/>
        <rFont val="맑은 고딕"/>
        <family val="0"/>
        <charset val="1"/>
      </rPr>
      <t xml:space="preserve">LOI·CO₂ </t>
    </r>
    <r>
      <rPr>
        <sz val="10"/>
        <rFont val="맑은 고딕"/>
        <family val="2"/>
      </rPr>
      <t xml:space="preserve">분석으로 석회석 혼입률 추정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혼합재 정량공급기 실적 확인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클링커 저장기간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야적 여부 확인</t>
    </r>
  </si>
  <si>
    <t xml:space="preserve">혼합재 투입률 설정 복귀</t>
  </si>
  <si>
    <r>
      <rPr>
        <sz val="10"/>
        <rFont val="맑은 고딕"/>
        <family val="2"/>
      </rPr>
      <t xml:space="preserve">혼합재 투입 자동제어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실적 모니터링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클링커 저장 관리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선입선출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야적 최소화</t>
    </r>
    <r>
      <rPr>
        <sz val="10"/>
        <rFont val="맑은 고딕"/>
        <family val="0"/>
        <charset val="1"/>
      </rPr>
      <t xml:space="preserve">)</t>
    </r>
  </si>
  <si>
    <t xml:space="preserve">설비</t>
  </si>
  <si>
    <r>
      <rPr>
        <sz val="10"/>
        <rFont val="맑은 고딕"/>
        <family val="2"/>
      </rPr>
      <t xml:space="preserve">클링커 냉각 불량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냉각기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</si>
  <si>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서랭 시 </t>
    </r>
    <r>
      <rPr>
        <sz val="10"/>
        <rFont val="맑은 고딕"/>
        <family val="0"/>
        <charset val="1"/>
      </rPr>
      <t xml:space="preserve">C₃S </t>
    </r>
    <r>
      <rPr>
        <sz val="10"/>
        <rFont val="맑은 고딕"/>
        <family val="2"/>
      </rPr>
      <t xml:space="preserve">분해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벨라이트 조대화</t>
    </r>
    <r>
      <rPr>
        <sz val="10"/>
        <rFont val="맑은 고딕"/>
        <family val="0"/>
        <charset val="1"/>
      </rPr>
      <t xml:space="preserve">·C₃A </t>
    </r>
    <r>
      <rPr>
        <sz val="10"/>
        <rFont val="맑은 고딕"/>
        <family val="2"/>
      </rPr>
      <t xml:space="preserve">결정화로 반응성이 낮아질 수 있다</t>
    </r>
    <r>
      <rPr>
        <sz val="10"/>
        <rFont val="맑은 고딕"/>
        <family val="0"/>
        <charset val="1"/>
      </rPr>
      <t xml:space="preserve">. 2</t>
    </r>
    <r>
      <rPr>
        <sz val="10"/>
        <rFont val="맑은 고딕"/>
        <family val="2"/>
      </rPr>
      <t xml:space="preserve">차 공기 온도 저하는 냉각기 열회수 이상의 신호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</si>
  <si>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맑은 고딕"/>
        <family val="2"/>
      </rPr>
      <t xml:space="preserve">차 공기 온도↓</t>
    </r>
  </si>
  <si>
    <r>
      <rPr>
        <sz val="10"/>
        <rFont val="맑은 고딕"/>
        <family val="2"/>
      </rPr>
      <t xml:space="preserve">냉각기 그레이트 속도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냉각 팬 풍량 확인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냉각기 출구 클링커 온도 확인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클링커 현미경 관찰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알라이트 분해 흔적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</si>
  <si>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냉각기 운전 조건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그레이트 속도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풍량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조정</t>
    </r>
  </si>
  <si>
    <r>
      <rPr>
        <sz val="10"/>
        <rFont val="맑은 고딕"/>
        <family val="2"/>
      </rPr>
      <t xml:space="preserve">냉각기 정비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그레이트 플레이트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팬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계획 반영</t>
    </r>
  </si>
  <si>
    <r>
      <rPr>
        <sz val="10"/>
        <rFont val="맑은 고딕"/>
        <family val="2"/>
      </rPr>
      <t xml:space="preserve">문헌</t>
    </r>
    <r>
      <rPr>
        <sz val="10"/>
        <rFont val="맑은 고딕"/>
        <family val="0"/>
        <charset val="1"/>
      </rPr>
      <t xml:space="preserve">+</t>
    </r>
    <r>
      <rPr>
        <sz val="10"/>
        <rFont val="맑은 고딕"/>
        <family val="2"/>
      </rPr>
      <t xml:space="preserve">경험칙</t>
    </r>
  </si>
  <si>
    <r>
      <rPr>
        <sz val="10"/>
        <rFont val="맑은 고딕"/>
        <family val="2"/>
      </rPr>
      <t xml:space="preserve">알칼리 증가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후기강도 저하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</si>
  <si>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알칼리</t>
    </r>
    <r>
      <rPr>
        <sz val="10"/>
        <rFont val="맑은 고딕"/>
        <family val="0"/>
        <charset val="1"/>
      </rPr>
      <t xml:space="preserve">(Na₂Oeq) </t>
    </r>
    <r>
      <rPr>
        <sz val="10"/>
        <rFont val="맑은 고딕"/>
        <family val="2"/>
      </rPr>
      <t xml:space="preserve">증가는 조기강도를 높이지만 </t>
    </r>
    <r>
      <rPr>
        <sz val="10"/>
        <rFont val="맑은 고딕"/>
        <family val="0"/>
        <charset val="1"/>
      </rPr>
      <t xml:space="preserve">28</t>
    </r>
    <r>
      <rPr>
        <sz val="10"/>
        <rFont val="맑은 고딕"/>
        <family val="2"/>
      </rPr>
      <t xml:space="preserve">일 이후 강도 발현을 저해하는 경향이 있다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문헌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경험칙</t>
    </r>
    <r>
      <rPr>
        <sz val="10"/>
        <rFont val="맑은 고딕"/>
        <family val="0"/>
        <charset val="1"/>
      </rPr>
      <t xml:space="preserve">).</t>
    </r>
  </si>
  <si>
    <t xml:space="preserve">클링커 등가알칼리↑</t>
  </si>
  <si>
    <r>
      <rPr>
        <sz val="10"/>
        <rFont val="맑은 고딕"/>
        <family val="2"/>
      </rPr>
      <t xml:space="preserve">클링커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시멘트 </t>
    </r>
    <r>
      <rPr>
        <sz val="10"/>
        <rFont val="맑은 고딕"/>
        <family val="0"/>
        <charset val="1"/>
      </rPr>
      <t xml:space="preserve">K₂O/Na₂O </t>
    </r>
    <r>
      <rPr>
        <sz val="10"/>
        <rFont val="맑은 고딕"/>
        <family val="2"/>
      </rPr>
      <t xml:space="preserve">분석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원료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연료 알칼리 투입량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바이패스 운전 여부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확인</t>
    </r>
  </si>
  <si>
    <r>
      <rPr>
        <sz val="10"/>
        <rFont val="맑은 고딕"/>
        <family val="2"/>
      </rPr>
      <t xml:space="preserve">바이패스 추기량 조정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설비 보유 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</si>
  <si>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원료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대체연료 알칼리 투입 관리 기준 수립</t>
    </r>
  </si>
  <si>
    <r>
      <rPr>
        <sz val="10"/>
        <rFont val="맑은 고딕"/>
        <family val="0"/>
        <charset val="1"/>
      </rPr>
      <t xml:space="preserve">7</t>
    </r>
    <r>
      <rPr>
        <sz val="10"/>
        <rFont val="맑은 고딕"/>
        <family val="2"/>
      </rPr>
      <t xml:space="preserve">일 압축강도 저하</t>
    </r>
  </si>
  <si>
    <r>
      <rPr>
        <sz val="10"/>
        <rFont val="맑은 고딕"/>
        <family val="2"/>
      </rPr>
      <t xml:space="preserve">분말도는 수화 반응 표면적을 결정하며 특히 조기강도에 민감하다</t>
    </r>
    <r>
      <rPr>
        <sz val="10"/>
        <rFont val="맑은 고딕"/>
        <family val="0"/>
        <charset val="1"/>
      </rPr>
      <t xml:space="preserve">. </t>
    </r>
    <r>
      <rPr>
        <sz val="10"/>
        <rFont val="맑은 고딕"/>
        <family val="2"/>
      </rPr>
      <t xml:space="preserve">경험칙</t>
    </r>
    <r>
      <rPr>
        <sz val="10"/>
        <rFont val="맑은 고딕"/>
        <family val="0"/>
        <charset val="1"/>
      </rPr>
      <t xml:space="preserve">: Blaine 100 cm²/g </t>
    </r>
    <r>
      <rPr>
        <sz val="10"/>
        <rFont val="맑은 고딕"/>
        <family val="2"/>
      </rPr>
      <t xml:space="preserve">당 </t>
    </r>
    <r>
      <rPr>
        <sz val="10"/>
        <rFont val="맑은 고딕"/>
        <family val="0"/>
        <charset val="1"/>
      </rPr>
      <t xml:space="preserve">3</t>
    </r>
    <r>
      <rPr>
        <sz val="10"/>
        <rFont val="맑은 고딕"/>
        <family val="2"/>
      </rPr>
      <t xml:space="preserve">일 강도 약 </t>
    </r>
    <r>
      <rPr>
        <sz val="10"/>
        <rFont val="맑은 고딕"/>
        <family val="0"/>
        <charset val="1"/>
      </rPr>
      <t xml:space="preserve">1~1.5 MPa.</t>
    </r>
  </si>
  <si>
    <r>
      <rPr>
        <sz val="10"/>
        <rFont val="맑은 고딕"/>
        <family val="0"/>
        <charset val="1"/>
      </rPr>
      <t xml:space="preserve">7</t>
    </r>
    <r>
      <rPr>
        <sz val="10"/>
        <rFont val="맑은 고딕"/>
        <family val="2"/>
      </rPr>
      <t xml:space="preserve">일 강도 시험 조건 이탈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시험 오차</t>
    </r>
  </si>
  <si>
    <r>
      <rPr>
        <sz val="10"/>
        <rFont val="맑은 고딕"/>
        <family val="2"/>
      </rPr>
      <t xml:space="preserve">양생수 온도 기준 이탈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시험실 온도 기준 이탈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시험실 상대습도 기준 이탈</t>
    </r>
    <r>
      <rPr>
        <sz val="10"/>
        <rFont val="맑은 고딕"/>
        <family val="0"/>
        <charset val="1"/>
      </rPr>
      <t xml:space="preserve">, sand_lot </t>
    </r>
    <r>
      <rPr>
        <sz val="10"/>
        <rFont val="맑은 고딕"/>
        <family val="2"/>
      </rPr>
      <t xml:space="preserve">변경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</si>
  <si>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맑은 고딕"/>
        <family val="2"/>
      </rPr>
      <t xml:space="preserve">일 압축강도 저하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</si>
  <si>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맑은 고딕"/>
        <family val="2"/>
      </rPr>
      <t xml:space="preserve">일 강도 시험 조건 이탈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시험 오차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</si>
  <si>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맑은 고딕"/>
        <family val="2"/>
      </rPr>
      <t xml:space="preserve">일 압축강도 저하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</si>
  <si>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맑은 고딕"/>
        <family val="2"/>
      </rPr>
      <t xml:space="preserve">일 강도 시험 조건 이탈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시험 오차</t>
    </r>
  </si>
  <si>
    <r>
      <rPr>
        <sz val="10"/>
        <rFont val="맑은 고딕"/>
        <family val="0"/>
        <charset val="1"/>
      </rPr>
      <t xml:space="preserve">28</t>
    </r>
    <r>
      <rPr>
        <sz val="10"/>
        <rFont val="맑은 고딕"/>
        <family val="2"/>
      </rPr>
      <t xml:space="preserve">일 강도 예측치 저하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조기 경보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</si>
  <si>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예측 모델 오차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입력 데이터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모델 한계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</si>
  <si>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예측은 과거 데이터로 학습된 회귀식이다</t>
    </r>
    <r>
      <rPr>
        <sz val="10"/>
        <rFont val="맑은 고딕"/>
        <family val="0"/>
        <charset val="1"/>
      </rPr>
      <t xml:space="preserve">. </t>
    </r>
    <r>
      <rPr>
        <sz val="10"/>
        <rFont val="맑은 고딕"/>
        <family val="2"/>
      </rPr>
      <t xml:space="preserve">학습 범위를 벗어난 조건이거나 입력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조기강도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자체가 오차를 포함할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</si>
  <si>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현장 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</si>
  <si>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예측 모델 </t>
    </r>
    <r>
      <rPr>
        <sz val="10"/>
        <rFont val="맑은 고딕"/>
        <family val="0"/>
        <charset val="1"/>
      </rPr>
      <t xml:space="preserve">R²·RMSE </t>
    </r>
    <r>
      <rPr>
        <sz val="10"/>
        <rFont val="맑은 고딕"/>
        <family val="2"/>
      </rPr>
      <t xml:space="preserve">확인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조기강도 시험 조건 확인 </t>
    </r>
    <r>
      <rPr>
        <sz val="10"/>
        <rFont val="맑은 고딕"/>
        <family val="0"/>
        <charset val="1"/>
      </rPr>
      <t xml:space="preserve">/ 28</t>
    </r>
    <r>
      <rPr>
        <sz val="10"/>
        <rFont val="맑은 고딕"/>
        <family val="2"/>
      </rPr>
      <t xml:space="preserve">일 실측 결과와 대조</t>
    </r>
  </si>
  <si>
    <r>
      <rPr>
        <sz val="10"/>
        <rFont val="맑은 고딕"/>
        <family val="0"/>
        <charset val="1"/>
      </rPr>
      <t xml:space="preserve">28</t>
    </r>
    <r>
      <rPr>
        <sz val="10"/>
        <rFont val="맑은 고딕"/>
        <family val="2"/>
      </rPr>
      <t xml:space="preserve">일 실측 전까지 </t>
    </r>
    <r>
      <rPr>
        <sz val="10"/>
        <rFont val="맑은 고딕"/>
        <family val="0"/>
        <charset val="1"/>
      </rPr>
      <t xml:space="preserve">'</t>
    </r>
    <r>
      <rPr>
        <sz val="10"/>
        <rFont val="맑은 고딕"/>
        <family val="2"/>
      </rPr>
      <t xml:space="preserve">예측 경보</t>
    </r>
    <r>
      <rPr>
        <sz val="10"/>
        <rFont val="맑은 고딕"/>
        <family val="0"/>
        <charset val="1"/>
      </rPr>
      <t xml:space="preserve">' </t>
    </r>
    <r>
      <rPr>
        <sz val="10"/>
        <rFont val="맑은 고딕"/>
        <family val="2"/>
      </rPr>
      <t xml:space="preserve">상태로 관리</t>
    </r>
  </si>
  <si>
    <r>
      <rPr>
        <sz val="10"/>
        <rFont val="맑은 고딕"/>
        <family val="2"/>
      </rPr>
      <t xml:space="preserve">데이터 누적에 따른 모델 정기 재학습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월 </t>
    </r>
    <r>
      <rPr>
        <sz val="10"/>
        <rFont val="맑은 고딕"/>
        <family val="0"/>
        <charset val="1"/>
      </rPr>
      <t xml:space="preserve">1</t>
    </r>
    <r>
      <rPr>
        <sz val="10"/>
        <rFont val="맑은 고딕"/>
        <family val="2"/>
      </rPr>
      <t xml:space="preserve">회</t>
    </r>
    <r>
      <rPr>
        <sz val="10"/>
        <rFont val="맑은 고딕"/>
        <family val="0"/>
        <charset val="1"/>
      </rPr>
      <t xml:space="preserve">)</t>
    </r>
  </si>
  <si>
    <t xml:space="preserve">통계</t>
  </si>
  <si>
    <r>
      <rPr>
        <sz val="10"/>
        <rFont val="맑은 고딕"/>
        <family val="2"/>
      </rPr>
      <t xml:space="preserve">클링커 자유석회</t>
    </r>
    <r>
      <rPr>
        <sz val="10"/>
        <rFont val="맑은 고딕"/>
        <family val="0"/>
        <charset val="1"/>
      </rPr>
      <t xml:space="preserve">(f-CaO) </t>
    </r>
    <r>
      <rPr>
        <sz val="10"/>
        <rFont val="맑은 고딕"/>
        <family val="2"/>
      </rPr>
      <t xml:space="preserve">상승</t>
    </r>
  </si>
  <si>
    <r>
      <rPr>
        <sz val="10"/>
        <rFont val="맑은 고딕"/>
        <family val="2"/>
      </rPr>
      <t xml:space="preserve">소성대 온도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체류시간 부족 시 </t>
    </r>
    <r>
      <rPr>
        <sz val="10"/>
        <rFont val="맑은 고딕"/>
        <family val="0"/>
        <charset val="1"/>
      </rPr>
      <t xml:space="preserve">C₂S + CaO → C₃S </t>
    </r>
    <r>
      <rPr>
        <sz val="10"/>
        <rFont val="맑은 고딕"/>
        <family val="2"/>
      </rPr>
      <t xml:space="preserve">반응이 완결되지 않아 </t>
    </r>
    <r>
      <rPr>
        <sz val="10"/>
        <rFont val="맑은 고딕"/>
        <family val="0"/>
        <charset val="1"/>
      </rPr>
      <t xml:space="preserve">f-CaO↑, C₃S↓, </t>
    </r>
    <r>
      <rPr>
        <sz val="10"/>
        <rFont val="맑은 고딕"/>
        <family val="2"/>
      </rPr>
      <t xml:space="preserve">클링커가 다공질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리터중량↓</t>
    </r>
    <r>
      <rPr>
        <sz val="10"/>
        <rFont val="맑은 고딕"/>
        <family val="0"/>
        <charset val="1"/>
      </rPr>
      <t xml:space="preserve">)</t>
    </r>
    <r>
      <rPr>
        <sz val="10"/>
        <rFont val="맑은 고딕"/>
        <family val="2"/>
      </rPr>
      <t xml:space="preserve">이 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</si>
  <si>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LSF </t>
    </r>
    <r>
      <rPr>
        <sz val="10"/>
        <rFont val="맑은 고딕"/>
        <family val="2"/>
      </rPr>
      <t xml:space="preserve">과다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석회 과포화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</si>
  <si>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LSF</t>
    </r>
    <r>
      <rPr>
        <sz val="10"/>
        <rFont val="맑은 고딕"/>
        <family val="2"/>
      </rPr>
      <t xml:space="preserve">가 높을수록 결합해야 할 </t>
    </r>
    <r>
      <rPr>
        <sz val="10"/>
        <rFont val="맑은 고딕"/>
        <family val="0"/>
        <charset val="1"/>
      </rPr>
      <t xml:space="preserve">CaO</t>
    </r>
    <r>
      <rPr>
        <sz val="10"/>
        <rFont val="맑은 고딕"/>
        <family val="2"/>
      </rPr>
      <t xml:space="preserve">가 많아 같은 소성 조건에서 </t>
    </r>
    <r>
      <rPr>
        <sz val="10"/>
        <rFont val="맑은 고딕"/>
        <family val="0"/>
        <charset val="1"/>
      </rPr>
      <t xml:space="preserve">f-CaO</t>
    </r>
    <r>
      <rPr>
        <sz val="10"/>
        <rFont val="맑은 고딕"/>
        <family val="2"/>
      </rPr>
      <t xml:space="preserve">가 증가한다</t>
    </r>
    <r>
      <rPr>
        <sz val="10"/>
        <rFont val="맑은 고딕"/>
        <family val="0"/>
        <charset val="1"/>
      </rPr>
      <t xml:space="preserve">. </t>
    </r>
    <r>
      <rPr>
        <sz val="10"/>
        <rFont val="맑은 고딕"/>
        <family val="2"/>
      </rPr>
      <t xml:space="preserve">경험칙</t>
    </r>
    <r>
      <rPr>
        <sz val="10"/>
        <rFont val="맑은 고딕"/>
        <family val="0"/>
        <charset val="1"/>
      </rPr>
      <t xml:space="preserve">: LSF +1 </t>
    </r>
    <r>
      <rPr>
        <sz val="10"/>
        <rFont val="맑은 고딕"/>
        <family val="2"/>
      </rPr>
      <t xml:space="preserve">당 </t>
    </r>
    <r>
      <rPr>
        <sz val="10"/>
        <rFont val="맑은 고딕"/>
        <family val="0"/>
        <charset val="1"/>
      </rPr>
      <t xml:space="preserve">f-CaO </t>
    </r>
    <r>
      <rPr>
        <sz val="10"/>
        <rFont val="맑은 고딕"/>
        <family val="2"/>
      </rPr>
      <t xml:space="preserve">약 </t>
    </r>
    <r>
      <rPr>
        <sz val="10"/>
        <rFont val="맑은 고딕"/>
        <family val="0"/>
        <charset val="1"/>
      </rPr>
      <t xml:space="preserve">+0.2~0.3%p.</t>
    </r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</si>
  <si>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LSF↑, </t>
    </r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LSF↑</t>
    </r>
  </si>
  <si>
    <r>
      <rPr>
        <sz val="10"/>
        <rFont val="맑은 고딕"/>
        <family val="2"/>
      </rPr>
      <t xml:space="preserve">생료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LSF </t>
    </r>
    <r>
      <rPr>
        <sz val="10"/>
        <rFont val="맑은 고딕"/>
        <family val="2"/>
      </rPr>
      <t xml:space="preserve">추이 확인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석회석 품위</t>
    </r>
    <r>
      <rPr>
        <sz val="10"/>
        <rFont val="맑은 고딕"/>
        <family val="0"/>
        <charset val="1"/>
      </rPr>
      <t xml:space="preserve">(CaO) </t>
    </r>
    <r>
      <rPr>
        <sz val="10"/>
        <rFont val="맑은 고딕"/>
        <family val="2"/>
      </rPr>
      <t xml:space="preserve">및 채광 위치 변경 이력 확인</t>
    </r>
  </si>
  <si>
    <r>
      <rPr>
        <sz val="10"/>
        <rFont val="맑은 고딕"/>
        <family val="2"/>
      </rPr>
      <t xml:space="preserve">원료 조합비 보정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석회석 비율↓</t>
    </r>
    <r>
      <rPr>
        <sz val="10"/>
        <rFont val="맑은 고딕"/>
        <family val="0"/>
        <charset val="1"/>
      </rPr>
      <t xml:space="preserve">) / </t>
    </r>
    <r>
      <rPr>
        <sz val="10"/>
        <rFont val="맑은 고딕"/>
        <family val="2"/>
      </rPr>
      <t xml:space="preserve">목표 </t>
    </r>
    <r>
      <rPr>
        <sz val="10"/>
        <rFont val="맑은 고딕"/>
        <family val="0"/>
        <charset val="1"/>
      </rPr>
      <t xml:space="preserve">LSF </t>
    </r>
    <r>
      <rPr>
        <sz val="10"/>
        <rFont val="맑은 고딕"/>
        <family val="2"/>
      </rPr>
      <t xml:space="preserve">일시 하향</t>
    </r>
  </si>
  <si>
    <r>
      <rPr>
        <sz val="10"/>
        <rFont val="맑은 고딕"/>
        <family val="2"/>
      </rPr>
      <t xml:space="preserve">석회석 품위 예측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채광 시추 데이터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기반 조합 관리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조합 제어 응답시간 단축</t>
    </r>
  </si>
  <si>
    <r>
      <rPr>
        <sz val="10"/>
        <rFont val="맑은 고딕"/>
        <family val="0"/>
        <charset val="1"/>
      </rPr>
      <t xml:space="preserve">SM </t>
    </r>
    <r>
      <rPr>
        <sz val="10"/>
        <rFont val="맑은 고딕"/>
        <family val="2"/>
      </rPr>
      <t xml:space="preserve">과다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액상량 부족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난소성 조성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</si>
  <si>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SM</t>
    </r>
    <r>
      <rPr>
        <sz val="10"/>
        <rFont val="맑은 고딕"/>
        <family val="2"/>
      </rPr>
      <t xml:space="preserve">이 높거나 액상량이 적으면 소성성이 나빠져 석회 결합이 지연된다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</si>
  <si>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SM↑, </t>
    </r>
    <r>
      <rPr>
        <sz val="10"/>
        <rFont val="맑은 고딕"/>
        <family val="2"/>
      </rPr>
      <t xml:space="preserve">액상량</t>
    </r>
    <r>
      <rPr>
        <sz val="10"/>
        <rFont val="맑은 고딕"/>
        <family val="0"/>
        <charset val="1"/>
      </rPr>
      <t xml:space="preserve">(1450℃)↓</t>
    </r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</si>
  <si>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SM·IM·</t>
    </r>
    <r>
      <rPr>
        <sz val="10"/>
        <rFont val="맑은 고딕"/>
        <family val="2"/>
      </rPr>
      <t xml:space="preserve">액상량 추이 확인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부원료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규석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철광석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투입 비율 확인</t>
    </r>
  </si>
  <si>
    <r>
      <rPr>
        <sz val="10"/>
        <rFont val="맑은 고딕"/>
        <family val="2"/>
      </rPr>
      <t xml:space="preserve">부원료 비율 조정으로 </t>
    </r>
    <r>
      <rPr>
        <sz val="10"/>
        <rFont val="맑은 고딕"/>
        <family val="0"/>
        <charset val="1"/>
      </rPr>
      <t xml:space="preserve">SM </t>
    </r>
    <r>
      <rPr>
        <sz val="10"/>
        <rFont val="맑은 고딕"/>
        <family val="2"/>
      </rPr>
      <t xml:space="preserve">복귀</t>
    </r>
  </si>
  <si>
    <r>
      <rPr>
        <sz val="10"/>
        <rFont val="맑은 고딕"/>
        <family val="0"/>
        <charset val="1"/>
      </rPr>
      <t xml:space="preserve">SM·IM </t>
    </r>
    <r>
      <rPr>
        <sz val="10"/>
        <rFont val="맑은 고딕"/>
        <family val="2"/>
      </rPr>
      <t xml:space="preserve">목표 범위 재설정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소성성 시험 기반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</si>
  <si>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생료 분말도 조대</t>
    </r>
    <r>
      <rPr>
        <sz val="10"/>
        <rFont val="맑은 고딕"/>
        <family val="0"/>
        <charset val="1"/>
      </rPr>
      <t xml:space="preserve">(90·200μm </t>
    </r>
    <r>
      <rPr>
        <sz val="10"/>
        <rFont val="맑은 고딕"/>
        <family val="2"/>
      </rPr>
      <t xml:space="preserve">잔사 증가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</si>
  <si>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조대한 석영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방해석 입자는 반응성이 낮아 </t>
    </r>
    <r>
      <rPr>
        <sz val="10"/>
        <rFont val="맑은 고딕"/>
        <family val="0"/>
        <charset val="1"/>
      </rPr>
      <t xml:space="preserve">f-CaO</t>
    </r>
    <r>
      <rPr>
        <sz val="10"/>
        <rFont val="맑은 고딕"/>
        <family val="2"/>
      </rPr>
      <t xml:space="preserve">가 남는다</t>
    </r>
    <r>
      <rPr>
        <sz val="10"/>
        <rFont val="맑은 고딕"/>
        <family val="0"/>
        <charset val="1"/>
      </rPr>
      <t xml:space="preserve">. </t>
    </r>
    <r>
      <rPr>
        <sz val="10"/>
        <rFont val="맑은 고딕"/>
        <family val="2"/>
      </rPr>
      <t xml:space="preserve">경험칙</t>
    </r>
    <r>
      <rPr>
        <sz val="10"/>
        <rFont val="맑은 고딕"/>
        <family val="0"/>
        <charset val="1"/>
      </rPr>
      <t xml:space="preserve">: 200μm </t>
    </r>
    <r>
      <rPr>
        <sz val="10"/>
        <rFont val="맑은 고딕"/>
        <family val="2"/>
      </rPr>
      <t xml:space="preserve">잔사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석영</t>
    </r>
    <r>
      <rPr>
        <sz val="10"/>
        <rFont val="맑은 고딕"/>
        <family val="0"/>
        <charset val="1"/>
      </rPr>
      <t xml:space="preserve">)</t>
    </r>
    <r>
      <rPr>
        <sz val="10"/>
        <rFont val="맑은 고딕"/>
        <family val="2"/>
      </rPr>
      <t xml:space="preserve">가 특히 민감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</si>
  <si>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90μm </t>
    </r>
    <r>
      <rPr>
        <sz val="10"/>
        <rFont val="맑은 고딕"/>
        <family val="2"/>
      </rPr>
      <t xml:space="preserve">잔사↑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200μm </t>
    </r>
    <r>
      <rPr>
        <sz val="10"/>
        <rFont val="맑은 고딕"/>
        <family val="2"/>
      </rPr>
      <t xml:space="preserve">잔사↑</t>
    </r>
  </si>
  <si>
    <r>
      <rPr>
        <sz val="10"/>
        <rFont val="맑은 고딕"/>
        <family val="2"/>
      </rPr>
      <t xml:space="preserve">생료 잔사</t>
    </r>
    <r>
      <rPr>
        <sz val="10"/>
        <rFont val="맑은 고딕"/>
        <family val="0"/>
        <charset val="1"/>
      </rPr>
      <t xml:space="preserve">(90·200μm) </t>
    </r>
    <r>
      <rPr>
        <sz val="10"/>
        <rFont val="맑은 고딕"/>
        <family val="2"/>
      </rPr>
      <t xml:space="preserve">재측정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원료밀 세퍼레이터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롤러 마모 상태 확인</t>
    </r>
  </si>
  <si>
    <t xml:space="preserve">원료밀 세퍼레이터 속도 조정</t>
  </si>
  <si>
    <r>
      <rPr>
        <sz val="10"/>
        <rFont val="맑은 고딕"/>
        <family val="2"/>
      </rPr>
      <t xml:space="preserve">원료밀 정비 주기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분말도 관리기준 재설정</t>
    </r>
  </si>
  <si>
    <r>
      <rPr>
        <sz val="10"/>
        <rFont val="맑은 고딕"/>
        <family val="2"/>
      </rPr>
      <t xml:space="preserve">연소 분위기 불량</t>
    </r>
    <r>
      <rPr>
        <sz val="10"/>
        <rFont val="맑은 고딕"/>
        <family val="0"/>
        <charset val="1"/>
      </rPr>
      <t xml:space="preserve">(CO↑·O₂↓)</t>
    </r>
  </si>
  <si>
    <r>
      <rPr>
        <sz val="10"/>
        <rFont val="맑은 고딕"/>
        <family val="2"/>
      </rPr>
      <t xml:space="preserve">공기 부족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불완전 연소는 화염 온도와 열전달을 떨어뜨리고 환원 분위기에서 클링커 품질을 저하시킨다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</si>
  <si>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킬른 입구 </t>
    </r>
    <r>
      <rPr>
        <sz val="10"/>
        <rFont val="맑은 고딕"/>
        <family val="0"/>
        <charset val="1"/>
      </rPr>
      <t xml:space="preserve">CO↑, </t>
    </r>
    <r>
      <rPr>
        <sz val="10"/>
        <rFont val="맑은 고딕"/>
        <family val="2"/>
      </rPr>
      <t xml:space="preserve">킬른 입구 </t>
    </r>
    <r>
      <rPr>
        <sz val="10"/>
        <rFont val="맑은 고딕"/>
        <family val="0"/>
        <charset val="1"/>
      </rPr>
      <t xml:space="preserve">O₂↓</t>
    </r>
  </si>
  <si>
    <r>
      <rPr>
        <sz val="10"/>
        <rFont val="맑은 고딕"/>
        <family val="2"/>
      </rPr>
      <t xml:space="preserve">킬른 입구 가스</t>
    </r>
    <r>
      <rPr>
        <sz val="10"/>
        <rFont val="맑은 고딕"/>
        <family val="0"/>
        <charset val="1"/>
      </rPr>
      <t xml:space="preserve">(O₂·CO) </t>
    </r>
    <r>
      <rPr>
        <sz val="10"/>
        <rFont val="맑은 고딕"/>
        <family val="2"/>
      </rPr>
      <t xml:space="preserve">추이 </t>
    </r>
    <r>
      <rPr>
        <sz val="10"/>
        <rFont val="맑은 고딕"/>
        <family val="0"/>
        <charset val="1"/>
      </rPr>
      <t xml:space="preserve">/ ID </t>
    </r>
    <r>
      <rPr>
        <sz val="10"/>
        <rFont val="맑은 고딕"/>
        <family val="2"/>
      </rPr>
      <t xml:space="preserve">팬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댐퍼 개도 확인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석탄 미분도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공급 안정성 확인</t>
    </r>
  </si>
  <si>
    <r>
      <rPr>
        <sz val="10"/>
        <rFont val="맑은 고딕"/>
        <family val="0"/>
        <charset val="1"/>
      </rPr>
      <t xml:space="preserve">O₂ </t>
    </r>
    <r>
      <rPr>
        <sz val="10"/>
        <rFont val="맑은 고딕"/>
        <family val="2"/>
      </rPr>
      <t xml:space="preserve">목표 상향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공기량 증가</t>
    </r>
    <r>
      <rPr>
        <sz val="10"/>
        <rFont val="맑은 고딕"/>
        <family val="0"/>
        <charset val="1"/>
      </rPr>
      <t xml:space="preserve">) / </t>
    </r>
    <r>
      <rPr>
        <sz val="10"/>
        <rFont val="맑은 고딕"/>
        <family val="2"/>
      </rPr>
      <t xml:space="preserve">석탄 공급 안정화</t>
    </r>
  </si>
  <si>
    <r>
      <rPr>
        <sz val="10"/>
        <rFont val="맑은 고딕"/>
        <family val="2"/>
      </rPr>
      <t xml:space="preserve">연소 제어 루프</t>
    </r>
    <r>
      <rPr>
        <sz val="10"/>
        <rFont val="맑은 고딕"/>
        <family val="0"/>
        <charset val="1"/>
      </rPr>
      <t xml:space="preserve">(O₂·CO </t>
    </r>
    <r>
      <rPr>
        <sz val="10"/>
        <rFont val="맑은 고딕"/>
        <family val="2"/>
      </rPr>
      <t xml:space="preserve">기반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튜닝</t>
    </r>
  </si>
  <si>
    <r>
      <rPr>
        <sz val="10"/>
        <rFont val="맑은 고딕"/>
        <family val="2"/>
      </rPr>
      <t xml:space="preserve">석탄 품질 저하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발열량↓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</si>
  <si>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발열량이 낮은 석탄은 같은 투입량에서 열량이 부족하다</t>
    </r>
    <r>
      <rPr>
        <sz val="10"/>
        <rFont val="맑은 고딕"/>
        <family val="0"/>
        <charset val="1"/>
      </rPr>
      <t xml:space="preserve">. </t>
    </r>
    <r>
      <rPr>
        <sz val="10"/>
        <rFont val="맑은 고딕"/>
        <family val="2"/>
      </rPr>
      <t xml:space="preserve">투입량을 늘렸는데도 소성대 온도가 낮으면 석탄 품질을 의심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</si>
  <si>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석탄 투입량↑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소성대 온도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파이로미터</t>
    </r>
    <r>
      <rPr>
        <sz val="10"/>
        <rFont val="맑은 고딕"/>
        <family val="0"/>
        <charset val="1"/>
      </rPr>
      <t xml:space="preserve">)↓</t>
    </r>
  </si>
  <si>
    <r>
      <rPr>
        <sz val="10"/>
        <rFont val="맑은 고딕"/>
        <family val="2"/>
      </rPr>
      <t xml:space="preserve">석탄 공업분석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발열량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회분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수분</t>
    </r>
    <r>
      <rPr>
        <sz val="10"/>
        <rFont val="맑은 고딕"/>
        <family val="0"/>
        <charset val="1"/>
      </rPr>
      <t xml:space="preserve">) / </t>
    </r>
    <r>
      <rPr>
        <sz val="10"/>
        <rFont val="맑은 고딕"/>
        <family val="2"/>
      </rPr>
      <t xml:space="preserve">석탄 입고 </t>
    </r>
    <r>
      <rPr>
        <sz val="10"/>
        <rFont val="맑은 고딕"/>
        <family val="0"/>
        <charset val="1"/>
      </rPr>
      <t xml:space="preserve">Lot·</t>
    </r>
    <r>
      <rPr>
        <sz val="10"/>
        <rFont val="맑은 고딕"/>
        <family val="2"/>
      </rPr>
      <t xml:space="preserve">혼탄 비율 확인</t>
    </r>
  </si>
  <si>
    <t xml:space="preserve">고발열량 석탄 혼탄 비율 상향</t>
  </si>
  <si>
    <r>
      <rPr>
        <sz val="10"/>
        <rFont val="맑은 고딕"/>
        <family val="2"/>
      </rPr>
      <t xml:space="preserve">석탄 입고 검사 기준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발열량 하한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강화</t>
    </r>
  </si>
  <si>
    <r>
      <rPr>
        <sz val="10"/>
        <rFont val="맑은 고딕"/>
        <family val="2"/>
      </rPr>
      <t xml:space="preserve">원료 투입량 증가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열부하 과다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</si>
  <si>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투입량 증가 대비 연료가 따라가지 못하면 소성이 부족해진다</t>
    </r>
    <r>
      <rPr>
        <sz val="10"/>
        <rFont val="맑은 고딕"/>
        <family val="0"/>
        <charset val="1"/>
      </rPr>
      <t xml:space="preserve">.</t>
    </r>
  </si>
  <si>
    <t xml:space="preserve">원료 투입량↑</t>
  </si>
  <si>
    <t xml:space="preserve">투입량 변경 이력 확인</t>
  </si>
  <si>
    <t xml:space="preserve">투입량 원복 또는 연료 증량</t>
  </si>
  <si>
    <t xml:space="preserve">투입량 변경 시 연료 연동 운전 기준</t>
  </si>
  <si>
    <r>
      <rPr>
        <sz val="10"/>
        <rFont val="맑은 고딕"/>
        <family val="0"/>
        <charset val="1"/>
      </rPr>
      <t xml:space="preserve">f-CaO </t>
    </r>
    <r>
      <rPr>
        <sz val="10"/>
        <rFont val="맑은 고딕"/>
        <family val="2"/>
      </rPr>
      <t xml:space="preserve">분석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시료 채취 오차</t>
    </r>
  </si>
  <si>
    <r>
      <rPr>
        <sz val="10"/>
        <rFont val="맑은 고딕"/>
        <family val="2"/>
      </rPr>
      <t xml:space="preserve">단발성 이탈이면서 연관 항목에 변화가 없으면 시료 대표성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분석 오차 가능성이 높다</t>
    </r>
    <r>
      <rPr>
        <sz val="10"/>
        <rFont val="맑은 고딕"/>
        <family val="0"/>
        <charset val="1"/>
      </rPr>
      <t xml:space="preserve">.</t>
    </r>
  </si>
  <si>
    <t xml:space="preserve">이벤트 단발성↑</t>
  </si>
  <si>
    <r>
      <rPr>
        <sz val="10"/>
        <rFont val="맑은 고딕"/>
        <family val="2"/>
      </rPr>
      <t xml:space="preserve">동일 시료 재분석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이중 분석</t>
    </r>
    <r>
      <rPr>
        <sz val="10"/>
        <rFont val="맑은 고딕"/>
        <family val="0"/>
        <charset val="1"/>
      </rPr>
      <t xml:space="preserve">) / </t>
    </r>
    <r>
      <rPr>
        <sz val="10"/>
        <rFont val="맑은 고딕"/>
        <family val="2"/>
      </rPr>
      <t xml:space="preserve">표준시료</t>
    </r>
    <r>
      <rPr>
        <sz val="10"/>
        <rFont val="맑은 고딕"/>
        <family val="0"/>
        <charset val="1"/>
      </rPr>
      <t xml:space="preserve">(CRM)</t>
    </r>
    <r>
      <rPr>
        <sz val="10"/>
        <rFont val="맑은 고딕"/>
        <family val="2"/>
      </rPr>
      <t xml:space="preserve">로 분석기 점검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시료 채취 위치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방법 확인</t>
    </r>
  </si>
  <si>
    <r>
      <rPr>
        <sz val="10"/>
        <rFont val="맑은 고딕"/>
        <family val="2"/>
      </rPr>
      <t xml:space="preserve">재분석 결과로 판정 확정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재분석 전까지 조치는 보류하되 다음 시료 채취 주기 단축</t>
    </r>
  </si>
  <si>
    <r>
      <rPr>
        <sz val="10"/>
        <rFont val="맑은 고딕"/>
        <family val="2"/>
      </rPr>
      <t xml:space="preserve">분석기 일상 점검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표준시료 관리도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운영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시료 채취 절차서 정비</t>
    </r>
  </si>
  <si>
    <r>
      <rPr>
        <sz val="10"/>
        <rFont val="맑은 고딕"/>
        <family val="2"/>
      </rPr>
      <t xml:space="preserve">클링커 자유석회</t>
    </r>
    <r>
      <rPr>
        <sz val="10"/>
        <rFont val="맑은 고딕"/>
        <family val="0"/>
        <charset val="1"/>
      </rPr>
      <t xml:space="preserve">(f-CaO) </t>
    </r>
    <r>
      <rPr>
        <sz val="10"/>
        <rFont val="맑은 고딕"/>
        <family val="2"/>
      </rPr>
      <t xml:space="preserve">과저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과소성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</si>
  <si>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과소성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소성대 온도 과다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</si>
  <si>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필요 이상의 열량은 </t>
    </r>
    <r>
      <rPr>
        <sz val="10"/>
        <rFont val="맑은 고딕"/>
        <family val="0"/>
        <charset val="1"/>
      </rPr>
      <t xml:space="preserve">f-CaO</t>
    </r>
    <r>
      <rPr>
        <sz val="10"/>
        <rFont val="맑은 고딕"/>
        <family val="2"/>
      </rPr>
      <t xml:space="preserve">를 과도하게 낮추고 연료 원단위를 높인다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</si>
  <si>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소성대 온도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파이로미터</t>
    </r>
    <r>
      <rPr>
        <sz val="10"/>
        <rFont val="맑은 고딕"/>
        <family val="0"/>
        <charset val="1"/>
      </rPr>
      <t xml:space="preserve">)↑, </t>
    </r>
    <r>
      <rPr>
        <sz val="10"/>
        <rFont val="맑은 고딕"/>
        <family val="2"/>
      </rPr>
      <t xml:space="preserve">석탄 투입량↑</t>
    </r>
  </si>
  <si>
    <r>
      <rPr>
        <sz val="10"/>
        <rFont val="맑은 고딕"/>
        <family val="2"/>
      </rPr>
      <t xml:space="preserve">소성대 온도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석탄 원단위 확인</t>
    </r>
  </si>
  <si>
    <t xml:space="preserve">석탄 투입량 감량</t>
  </si>
  <si>
    <r>
      <rPr>
        <sz val="10"/>
        <rFont val="맑은 고딕"/>
        <family val="0"/>
        <charset val="1"/>
      </rPr>
      <t xml:space="preserve">f-CaO </t>
    </r>
    <r>
      <rPr>
        <sz val="10"/>
        <rFont val="맑은 고딕"/>
        <family val="2"/>
      </rPr>
      <t xml:space="preserve">목표 범위 기반 연료 최적 운전</t>
    </r>
  </si>
  <si>
    <t xml:space="preserve">이론</t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</si>
  <si>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LSF </t>
    </r>
    <r>
      <rPr>
        <sz val="10"/>
        <rFont val="맑은 고딕"/>
        <family val="2"/>
      </rPr>
      <t xml:space="preserve">저하</t>
    </r>
  </si>
  <si>
    <r>
      <rPr>
        <sz val="10"/>
        <rFont val="맑은 고딕"/>
        <family val="0"/>
        <charset val="1"/>
      </rPr>
      <t xml:space="preserve">LSF</t>
    </r>
    <r>
      <rPr>
        <sz val="10"/>
        <rFont val="맑은 고딕"/>
        <family val="2"/>
      </rPr>
      <t xml:space="preserve">가 낮으면 쉽게 결합되어 </t>
    </r>
    <r>
      <rPr>
        <sz val="10"/>
        <rFont val="맑은 고딕"/>
        <family val="0"/>
        <charset val="1"/>
      </rPr>
      <t xml:space="preserve">f-CaO</t>
    </r>
    <r>
      <rPr>
        <sz val="10"/>
        <rFont val="맑은 고딕"/>
        <family val="2"/>
      </rPr>
      <t xml:space="preserve">가 낮아지지만 </t>
    </r>
    <r>
      <rPr>
        <sz val="10"/>
        <rFont val="맑은 고딕"/>
        <family val="0"/>
        <charset val="1"/>
      </rPr>
      <t xml:space="preserve">C₃S</t>
    </r>
    <r>
      <rPr>
        <sz val="10"/>
        <rFont val="맑은 고딕"/>
        <family val="2"/>
      </rPr>
      <t xml:space="preserve">도 줄어 강도가 저하될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</si>
  <si>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LSF↓, </t>
    </r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LSF↓</t>
    </r>
  </si>
  <si>
    <r>
      <rPr>
        <sz val="10"/>
        <rFont val="맑은 고딕"/>
        <family val="2"/>
      </rPr>
      <t xml:space="preserve">생료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LSF </t>
    </r>
    <r>
      <rPr>
        <sz val="10"/>
        <rFont val="맑은 고딕"/>
        <family val="2"/>
      </rPr>
      <t xml:space="preserve">확인</t>
    </r>
  </si>
  <si>
    <r>
      <rPr>
        <sz val="10"/>
        <rFont val="맑은 고딕"/>
        <family val="2"/>
      </rPr>
      <t xml:space="preserve">조합비 보정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석회석 비율↑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</si>
  <si>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LSF </t>
    </r>
    <r>
      <rPr>
        <sz val="10"/>
        <rFont val="맑은 고딕"/>
        <family val="2"/>
      </rPr>
      <t xml:space="preserve">제어 정밀도 향상</t>
    </r>
  </si>
  <si>
    <t xml:space="preserve">원료 투입량 감소</t>
  </si>
  <si>
    <r>
      <rPr>
        <sz val="10"/>
        <rFont val="맑은 고딕"/>
        <family val="2"/>
      </rPr>
      <t xml:space="preserve">투입량 감소 시 열부하가 줄어 과소성되기 쉽다</t>
    </r>
    <r>
      <rPr>
        <sz val="10"/>
        <rFont val="맑은 고딕"/>
        <family val="0"/>
        <charset val="1"/>
      </rPr>
      <t xml:space="preserve">.</t>
    </r>
  </si>
  <si>
    <t xml:space="preserve">원료 투입량↓</t>
  </si>
  <si>
    <t xml:space="preserve">연료 감량</t>
  </si>
  <si>
    <r>
      <rPr>
        <sz val="10"/>
        <rFont val="맑은 고딕"/>
        <family val="2"/>
      </rPr>
      <t xml:space="preserve">투입량</t>
    </r>
    <r>
      <rPr>
        <sz val="10"/>
        <rFont val="맑은 고딕"/>
        <family val="0"/>
        <charset val="1"/>
      </rPr>
      <t xml:space="preserve">-</t>
    </r>
    <r>
      <rPr>
        <sz val="10"/>
        <rFont val="맑은 고딕"/>
        <family val="2"/>
      </rPr>
      <t xml:space="preserve">연료 연동 운전</t>
    </r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</si>
  <si>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LSF </t>
    </r>
    <r>
      <rPr>
        <sz val="10"/>
        <rFont val="맑은 고딕"/>
        <family val="2"/>
      </rPr>
      <t xml:space="preserve">상승</t>
    </r>
  </si>
  <si>
    <r>
      <rPr>
        <sz val="10"/>
        <rFont val="맑은 고딕"/>
        <family val="2"/>
      </rPr>
      <t xml:space="preserve">석회석 품위</t>
    </r>
    <r>
      <rPr>
        <sz val="10"/>
        <rFont val="맑은 고딕"/>
        <family val="0"/>
        <charset val="1"/>
      </rPr>
      <t xml:space="preserve">(CaO) </t>
    </r>
    <r>
      <rPr>
        <sz val="10"/>
        <rFont val="맑은 고딕"/>
        <family val="2"/>
      </rPr>
      <t xml:space="preserve">상승</t>
    </r>
  </si>
  <si>
    <r>
      <rPr>
        <sz val="10"/>
        <rFont val="맑은 고딕"/>
        <family val="2"/>
      </rPr>
      <t xml:space="preserve">채광 벤치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구역 변경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협잡물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점토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규석질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혼입 변화로 석회석 </t>
    </r>
    <r>
      <rPr>
        <sz val="10"/>
        <rFont val="맑은 고딕"/>
        <family val="0"/>
        <charset val="1"/>
      </rPr>
      <t xml:space="preserve">CaO </t>
    </r>
    <r>
      <rPr>
        <sz val="10"/>
        <rFont val="맑은 고딕"/>
        <family val="2"/>
      </rPr>
      <t xml:space="preserve">품위가 바뀌면 생료 </t>
    </r>
    <r>
      <rPr>
        <sz val="10"/>
        <rFont val="맑은 고딕"/>
        <family val="0"/>
        <charset val="1"/>
      </rPr>
      <t xml:space="preserve">LSF</t>
    </r>
    <r>
      <rPr>
        <sz val="10"/>
        <rFont val="맑은 고딕"/>
        <family val="2"/>
      </rPr>
      <t xml:space="preserve">가 변한다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</si>
  <si>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CaO↑</t>
    </r>
  </si>
  <si>
    <r>
      <rPr>
        <sz val="10"/>
        <rFont val="맑은 고딕"/>
        <family val="2"/>
      </rPr>
      <t xml:space="preserve">석회석 입고 분석</t>
    </r>
    <r>
      <rPr>
        <sz val="10"/>
        <rFont val="맑은 고딕"/>
        <family val="0"/>
        <charset val="1"/>
      </rPr>
      <t xml:space="preserve">(CaO·SiO₂) </t>
    </r>
    <r>
      <rPr>
        <sz val="10"/>
        <rFont val="맑은 고딕"/>
        <family val="2"/>
      </rPr>
      <t xml:space="preserve">및 채광 위치 확인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예비균질화 파일 성분 확인</t>
    </r>
  </si>
  <si>
    <r>
      <rPr>
        <sz val="10"/>
        <rFont val="맑은 고딕"/>
        <family val="2"/>
      </rPr>
      <t xml:space="preserve">원료 조합비 즉시 보정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자동 조합 제어 목표값 재확인</t>
    </r>
  </si>
  <si>
    <r>
      <rPr>
        <sz val="10"/>
        <rFont val="맑은 고딕"/>
        <family val="2"/>
      </rPr>
      <t xml:space="preserve">채광 계획 단계 품위 관리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시추 데이터 블렌딩</t>
    </r>
    <r>
      <rPr>
        <sz val="10"/>
        <rFont val="맑은 고딕"/>
        <family val="0"/>
        <charset val="1"/>
      </rPr>
      <t xml:space="preserve">) / </t>
    </r>
    <r>
      <rPr>
        <sz val="10"/>
        <rFont val="맑은 고딕"/>
        <family val="2"/>
      </rPr>
      <t xml:space="preserve">예비균질화 효과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파일링 방식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개선</t>
    </r>
  </si>
  <si>
    <r>
      <rPr>
        <sz val="10"/>
        <rFont val="맑은 고딕"/>
        <family val="2"/>
      </rPr>
      <t xml:space="preserve">생산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원료</t>
    </r>
    <r>
      <rPr>
        <sz val="10"/>
        <rFont val="맑은 고딕"/>
        <family val="0"/>
        <charset val="1"/>
      </rPr>
      <t xml:space="preserve">)·</t>
    </r>
    <r>
      <rPr>
        <sz val="10"/>
        <rFont val="맑은 고딕"/>
        <family val="2"/>
      </rPr>
      <t xml:space="preserve">채광</t>
    </r>
  </si>
  <si>
    <r>
      <rPr>
        <sz val="10"/>
        <rFont val="맑은 고딕"/>
        <family val="2"/>
      </rPr>
      <t xml:space="preserve">부원료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점토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규석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철광석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성분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투입 변동</t>
    </r>
  </si>
  <si>
    <r>
      <rPr>
        <sz val="10"/>
        <rFont val="맑은 고딕"/>
        <family val="0"/>
        <charset val="1"/>
      </rPr>
      <t xml:space="preserve">SiO₂ </t>
    </r>
    <r>
      <rPr>
        <sz val="10"/>
        <rFont val="맑은 고딕"/>
        <family val="2"/>
      </rPr>
      <t xml:space="preserve">공급원이 줄거나 늘면 </t>
    </r>
    <r>
      <rPr>
        <sz val="10"/>
        <rFont val="맑은 고딕"/>
        <family val="0"/>
        <charset val="1"/>
      </rPr>
      <t xml:space="preserve">LSF</t>
    </r>
    <r>
      <rPr>
        <sz val="10"/>
        <rFont val="맑은 고딕"/>
        <family val="2"/>
      </rPr>
      <t xml:space="preserve">가 반대로 움직인다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</si>
  <si>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SiO₂↓</t>
    </r>
  </si>
  <si>
    <r>
      <rPr>
        <sz val="10"/>
        <rFont val="맑은 고딕"/>
        <family val="2"/>
      </rPr>
      <t xml:space="preserve">부원료 입고 분석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부원료 정량공급기 실적</t>
    </r>
  </si>
  <si>
    <t xml:space="preserve">부원료 투입 설정 보정</t>
  </si>
  <si>
    <r>
      <rPr>
        <sz val="10"/>
        <rFont val="맑은 고딕"/>
        <family val="2"/>
      </rPr>
      <t xml:space="preserve">부원료 입고 검사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저장 관리 강화</t>
    </r>
  </si>
  <si>
    <r>
      <rPr>
        <sz val="10"/>
        <rFont val="맑은 고딕"/>
        <family val="2"/>
      </rPr>
      <t xml:space="preserve">원료 정량공급기 편차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호퍼 막힘</t>
    </r>
  </si>
  <si>
    <r>
      <rPr>
        <sz val="10"/>
        <rFont val="맑은 고딕"/>
        <family val="2"/>
      </rPr>
      <t xml:space="preserve">정량공급기 교정 불량이나 원료 수분 증가에 따른 호퍼 브리징으로 실제 투입 비율이 설정과 달라진다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</si>
  <si>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정량공급기 설정 </t>
    </r>
    <r>
      <rPr>
        <sz val="10"/>
        <rFont val="맑은 고딕"/>
        <family val="0"/>
        <charset val="1"/>
      </rPr>
      <t xml:space="preserve">vs </t>
    </r>
    <r>
      <rPr>
        <sz val="10"/>
        <rFont val="맑은 고딕"/>
        <family val="2"/>
      </rPr>
      <t xml:space="preserve">실적 비교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호퍼 막힘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수분 이력 확인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공급기 교정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실부하 검교정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</si>
  <si>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막힘 해소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공급기 점검</t>
    </r>
  </si>
  <si>
    <r>
      <rPr>
        <sz val="10"/>
        <rFont val="맑은 고딕"/>
        <family val="2"/>
      </rPr>
      <t xml:space="preserve">공급기 정기 교정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편차 알람 설정</t>
    </r>
  </si>
  <si>
    <r>
      <rPr>
        <sz val="10"/>
        <rFont val="맑은 고딕"/>
        <family val="2"/>
      </rPr>
      <t xml:space="preserve">원료 조합 제어 지연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샘플링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피드백 주기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</si>
  <si>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분석 주기가 길거나 제어 게인이 부적절하면 원료 변동을 늦게 따라간다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</si>
  <si>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조합 제어 로그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설정 변경 시각</t>
    </r>
    <r>
      <rPr>
        <sz val="10"/>
        <rFont val="맑은 고딕"/>
        <family val="0"/>
        <charset val="1"/>
      </rPr>
      <t xml:space="preserve">)</t>
    </r>
    <r>
      <rPr>
        <sz val="10"/>
        <rFont val="맑은 고딕"/>
        <family val="2"/>
      </rPr>
      <t xml:space="preserve">와 </t>
    </r>
    <r>
      <rPr>
        <sz val="10"/>
        <rFont val="맑은 고딕"/>
        <family val="0"/>
        <charset val="1"/>
      </rPr>
      <t xml:space="preserve">LSF </t>
    </r>
    <r>
      <rPr>
        <sz val="10"/>
        <rFont val="맑은 고딕"/>
        <family val="2"/>
      </rPr>
      <t xml:space="preserve">변화 시각 비교</t>
    </r>
  </si>
  <si>
    <t xml:space="preserve">수동 보정 빈도 상향</t>
  </si>
  <si>
    <r>
      <rPr>
        <sz val="10"/>
        <rFont val="맑은 고딕"/>
        <family val="2"/>
      </rPr>
      <t xml:space="preserve">온라인 분석기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크로스벨트 등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도입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제어 튜닝</t>
    </r>
  </si>
  <si>
    <r>
      <rPr>
        <sz val="10"/>
        <rFont val="맑은 고딕"/>
        <family val="0"/>
        <charset val="1"/>
      </rPr>
      <t xml:space="preserve">XRF </t>
    </r>
    <r>
      <rPr>
        <sz val="10"/>
        <rFont val="맑은 고딕"/>
        <family val="2"/>
      </rPr>
      <t xml:space="preserve">검량선 드리프트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시료 대표성</t>
    </r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</si>
  <si>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LSF</t>
    </r>
    <r>
      <rPr>
        <sz val="10"/>
        <rFont val="맑은 고딕"/>
        <family val="2"/>
      </rPr>
      <t xml:space="preserve">가 변했는데 이후 클링커 </t>
    </r>
    <r>
      <rPr>
        <sz val="10"/>
        <rFont val="맑은 고딕"/>
        <family val="0"/>
        <charset val="1"/>
      </rPr>
      <t xml:space="preserve">LSF</t>
    </r>
    <r>
      <rPr>
        <sz val="10"/>
        <rFont val="맑은 고딕"/>
        <family val="2"/>
      </rPr>
      <t xml:space="preserve">에 반영되지 않으면 분석 오차일 가능성이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</si>
  <si>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LSF↑(</t>
    </r>
    <r>
      <rPr>
        <sz val="10"/>
        <rFont val="맑은 고딕"/>
        <family val="2"/>
      </rPr>
      <t xml:space="preserve">반대</t>
    </r>
    <r>
      <rPr>
        <sz val="10"/>
        <rFont val="맑은 고딕"/>
        <family val="0"/>
        <charset val="1"/>
      </rPr>
      <t xml:space="preserve">), </t>
    </r>
    <r>
      <rPr>
        <sz val="10"/>
        <rFont val="맑은 고딕"/>
        <family val="2"/>
      </rPr>
      <t xml:space="preserve">이벤트 단발성↑</t>
    </r>
  </si>
  <si>
    <r>
      <rPr>
        <sz val="10"/>
        <rFont val="맑은 고딕"/>
        <family val="2"/>
      </rPr>
      <t xml:space="preserve">표준시료</t>
    </r>
    <r>
      <rPr>
        <sz val="10"/>
        <rFont val="맑은 고딕"/>
        <family val="0"/>
        <charset val="1"/>
      </rPr>
      <t xml:space="preserve">(CRM)</t>
    </r>
    <r>
      <rPr>
        <sz val="10"/>
        <rFont val="맑은 고딕"/>
        <family val="2"/>
      </rPr>
      <t xml:space="preserve">로 </t>
    </r>
    <r>
      <rPr>
        <sz val="10"/>
        <rFont val="맑은 고딕"/>
        <family val="0"/>
        <charset val="1"/>
      </rPr>
      <t xml:space="preserve">XRF </t>
    </r>
    <r>
      <rPr>
        <sz val="10"/>
        <rFont val="맑은 고딕"/>
        <family val="2"/>
      </rPr>
      <t xml:space="preserve">점검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동일 시료 재분석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자동 샘플러 상태 확인</t>
    </r>
  </si>
  <si>
    <t xml:space="preserve">재분석 후 조합 보정 여부 결정</t>
  </si>
  <si>
    <r>
      <rPr>
        <sz val="10"/>
        <rFont val="맑은 고딕"/>
        <family val="0"/>
        <charset val="1"/>
      </rPr>
      <t xml:space="preserve">XRF </t>
    </r>
    <r>
      <rPr>
        <sz val="10"/>
        <rFont val="맑은 고딕"/>
        <family val="2"/>
      </rPr>
      <t xml:space="preserve">표준시료 관리도 운영</t>
    </r>
  </si>
  <si>
    <r>
      <rPr>
        <sz val="10"/>
        <rFont val="맑은 고딕"/>
        <family val="2"/>
      </rPr>
      <t xml:space="preserve">석회석 품위</t>
    </r>
    <r>
      <rPr>
        <sz val="10"/>
        <rFont val="맑은 고딕"/>
        <family val="0"/>
        <charset val="1"/>
      </rPr>
      <t xml:space="preserve">(CaO) </t>
    </r>
    <r>
      <rPr>
        <sz val="10"/>
        <rFont val="맑은 고딕"/>
        <family val="2"/>
      </rPr>
      <t xml:space="preserve">저하</t>
    </r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</si>
  <si>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CaO↓</t>
    </r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</si>
  <si>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SiO₂↑</t>
    </r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</si>
  <si>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LSF↓(</t>
    </r>
    <r>
      <rPr>
        <sz val="10"/>
        <rFont val="맑은 고딕"/>
        <family val="2"/>
      </rPr>
      <t xml:space="preserve">반대</t>
    </r>
    <r>
      <rPr>
        <sz val="10"/>
        <rFont val="맑은 고딕"/>
        <family val="0"/>
        <charset val="1"/>
      </rPr>
      <t xml:space="preserve">), </t>
    </r>
    <r>
      <rPr>
        <sz val="10"/>
        <rFont val="맑은 고딕"/>
        <family val="2"/>
      </rPr>
      <t xml:space="preserve">이벤트 단발성↑</t>
    </r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</si>
  <si>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LSF </t>
    </r>
    <r>
      <rPr>
        <sz val="10"/>
        <rFont val="맑은 고딕"/>
        <family val="2"/>
      </rPr>
      <t xml:space="preserve">상승</t>
    </r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</si>
  <si>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LSF</t>
    </r>
    <r>
      <rPr>
        <sz val="10"/>
        <rFont val="맑은 고딕"/>
        <family val="2"/>
      </rPr>
      <t xml:space="preserve">는 생료 </t>
    </r>
    <r>
      <rPr>
        <sz val="10"/>
        <rFont val="맑은 고딕"/>
        <family val="0"/>
        <charset val="1"/>
      </rPr>
      <t xml:space="preserve">LSF</t>
    </r>
    <r>
      <rPr>
        <sz val="10"/>
        <rFont val="맑은 고딕"/>
        <family val="2"/>
      </rPr>
      <t xml:space="preserve">와 석탄회 흡수로 결정된다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</si>
  <si>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LSF↑</t>
    </r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</si>
  <si>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LSF </t>
    </r>
    <r>
      <rPr>
        <sz val="10"/>
        <rFont val="맑은 고딕"/>
        <family val="2"/>
      </rPr>
      <t xml:space="preserve">추이 확인</t>
    </r>
  </si>
  <si>
    <t xml:space="preserve">원료 조합비 보정</t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</si>
  <si>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LSF </t>
    </r>
    <r>
      <rPr>
        <sz val="10"/>
        <rFont val="맑은 고딕"/>
        <family val="2"/>
      </rPr>
      <t xml:space="preserve">관리 정밀도 향상</t>
    </r>
  </si>
  <si>
    <r>
      <rPr>
        <sz val="10"/>
        <rFont val="맑은 고딕"/>
        <family val="2"/>
      </rPr>
      <t xml:space="preserve">석탄회 흡수량 변화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연료 감소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</si>
  <si>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석탄회는 </t>
    </r>
    <r>
      <rPr>
        <sz val="10"/>
        <rFont val="맑은 고딕"/>
        <family val="0"/>
        <charset val="1"/>
      </rPr>
      <t xml:space="preserve">SiO₂·Al₂O₃</t>
    </r>
    <r>
      <rPr>
        <sz val="10"/>
        <rFont val="맑은 고딕"/>
        <family val="2"/>
      </rPr>
      <t xml:space="preserve">가 많아 흡수량이 늘면 클링커 </t>
    </r>
    <r>
      <rPr>
        <sz val="10"/>
        <rFont val="맑은 고딕"/>
        <family val="0"/>
        <charset val="1"/>
      </rPr>
      <t xml:space="preserve">LSF</t>
    </r>
    <r>
      <rPr>
        <sz val="10"/>
        <rFont val="맑은 고딕"/>
        <family val="2"/>
      </rPr>
      <t xml:space="preserve">가 낮아지고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줄면 높아진다</t>
    </r>
    <r>
      <rPr>
        <sz val="10"/>
        <rFont val="맑은 고딕"/>
        <family val="0"/>
        <charset val="1"/>
      </rPr>
      <t xml:space="preserve">.</t>
    </r>
  </si>
  <si>
    <t xml:space="preserve">석탄 투입량↓</t>
  </si>
  <si>
    <r>
      <rPr>
        <sz val="10"/>
        <rFont val="맑은 고딕"/>
        <family val="2"/>
      </rPr>
      <t xml:space="preserve">석탄 투입량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회분 확인</t>
    </r>
  </si>
  <si>
    <r>
      <rPr>
        <sz val="10"/>
        <rFont val="맑은 고딕"/>
        <family val="2"/>
      </rPr>
      <t xml:space="preserve">생료 목표 </t>
    </r>
    <r>
      <rPr>
        <sz val="10"/>
        <rFont val="맑은 고딕"/>
        <family val="0"/>
        <charset val="1"/>
      </rPr>
      <t xml:space="preserve">LSF</t>
    </r>
    <r>
      <rPr>
        <sz val="10"/>
        <rFont val="맑은 고딕"/>
        <family val="2"/>
      </rPr>
      <t xml:space="preserve">에 석탄회 보정 반영</t>
    </r>
  </si>
  <si>
    <t xml:space="preserve">석탄 회분 변동을 반영한 조합 설계</t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</si>
  <si>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XRF </t>
    </r>
    <r>
      <rPr>
        <sz val="10"/>
        <rFont val="맑은 고딕"/>
        <family val="2"/>
      </rPr>
      <t xml:space="preserve">분석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시료 채취 오차</t>
    </r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</si>
  <si>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LSF </t>
    </r>
    <r>
      <rPr>
        <sz val="10"/>
        <rFont val="맑은 고딕"/>
        <family val="2"/>
      </rPr>
      <t xml:space="preserve">저하</t>
    </r>
  </si>
  <si>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LSF↓</t>
    </r>
  </si>
  <si>
    <r>
      <rPr>
        <sz val="10"/>
        <rFont val="맑은 고딕"/>
        <family val="2"/>
      </rPr>
      <t xml:space="preserve">석탄회 흡수량 변화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연료 증가</t>
    </r>
    <r>
      <rPr>
        <sz val="10"/>
        <rFont val="맑은 고딕"/>
        <family val="0"/>
        <charset val="1"/>
      </rPr>
      <t xml:space="preserve">)</t>
    </r>
  </si>
  <si>
    <t xml:space="preserve">석탄 투입량↑</t>
  </si>
  <si>
    <r>
      <rPr>
        <sz val="10"/>
        <rFont val="맑은 고딕"/>
        <family val="2"/>
      </rPr>
      <t xml:space="preserve">시멘트 </t>
    </r>
    <r>
      <rPr>
        <sz val="10"/>
        <rFont val="맑은 고딕"/>
        <family val="0"/>
        <charset val="1"/>
      </rPr>
      <t xml:space="preserve">SO₃ </t>
    </r>
    <r>
      <rPr>
        <sz val="10"/>
        <rFont val="맑은 고딕"/>
        <family val="2"/>
      </rPr>
      <t xml:space="preserve">과다</t>
    </r>
  </si>
  <si>
    <r>
      <rPr>
        <sz val="10"/>
        <rFont val="맑은 고딕"/>
        <family val="2"/>
      </rPr>
      <t xml:space="preserve">석고 정량공급기 이상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막힘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교정 불량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</si>
  <si>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석고 공급기 이상은 </t>
    </r>
    <r>
      <rPr>
        <sz val="10"/>
        <rFont val="맑은 고딕"/>
        <family val="0"/>
        <charset val="1"/>
      </rPr>
      <t xml:space="preserve">SO₃ </t>
    </r>
    <r>
      <rPr>
        <sz val="10"/>
        <rFont val="맑은 고딕"/>
        <family val="2"/>
      </rPr>
      <t xml:space="preserve">급변의 가장 흔한 원인이다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경험칙</t>
    </r>
    <r>
      <rPr>
        <sz val="10"/>
        <rFont val="맑은 고딕"/>
        <family val="0"/>
        <charset val="1"/>
      </rPr>
      <t xml:space="preserve">).</t>
    </r>
  </si>
  <si>
    <r>
      <rPr>
        <sz val="10"/>
        <rFont val="맑은 고딕"/>
        <family val="2"/>
      </rPr>
      <t xml:space="preserve">공급기 설정 대비 실적 비교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석고 호퍼 막힘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수분 확인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공급기 실부하 교정</t>
    </r>
  </si>
  <si>
    <r>
      <rPr>
        <sz val="10"/>
        <rFont val="맑은 고딕"/>
        <family val="2"/>
      </rPr>
      <t xml:space="preserve">공급기 점검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설정 복귀 </t>
    </r>
    <r>
      <rPr>
        <sz val="10"/>
        <rFont val="맑은 고딕"/>
        <family val="0"/>
        <charset val="1"/>
      </rPr>
      <t xml:space="preserve">/ SO₃ </t>
    </r>
    <r>
      <rPr>
        <sz val="10"/>
        <rFont val="맑은 고딕"/>
        <family val="2"/>
      </rPr>
      <t xml:space="preserve">분석 주기 단축</t>
    </r>
    <r>
      <rPr>
        <sz val="10"/>
        <rFont val="맑은 고딕"/>
        <family val="0"/>
        <charset val="1"/>
      </rPr>
      <t xml:space="preserve">(1</t>
    </r>
    <r>
      <rPr>
        <sz val="10"/>
        <rFont val="맑은 고딕"/>
        <family val="2"/>
      </rPr>
      <t xml:space="preserve">시간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</si>
  <si>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공급기 편차 알람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정기 교정 </t>
    </r>
    <r>
      <rPr>
        <sz val="10"/>
        <rFont val="맑은 고딕"/>
        <family val="0"/>
        <charset val="1"/>
      </rPr>
      <t xml:space="preserve">/ SO₃ </t>
    </r>
    <r>
      <rPr>
        <sz val="10"/>
        <rFont val="맑은 고딕"/>
        <family val="2"/>
      </rPr>
      <t xml:space="preserve">온라인 제어 루프 구축</t>
    </r>
  </si>
  <si>
    <r>
      <rPr>
        <sz val="10"/>
        <rFont val="맑은 고딕"/>
        <family val="2"/>
      </rPr>
      <t xml:space="preserve">석고 품위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순도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변동</t>
    </r>
  </si>
  <si>
    <r>
      <rPr>
        <sz val="10"/>
        <rFont val="맑은 고딕"/>
        <family val="2"/>
      </rPr>
      <t xml:space="preserve">천연석고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배연탈황석고 혼용 비율이나 순도 변화로 같은 투입량에서도 </t>
    </r>
    <r>
      <rPr>
        <sz val="10"/>
        <rFont val="맑은 고딕"/>
        <family val="0"/>
        <charset val="1"/>
      </rPr>
      <t xml:space="preserve">SO₃</t>
    </r>
    <r>
      <rPr>
        <sz val="10"/>
        <rFont val="맑은 고딕"/>
        <family val="2"/>
      </rPr>
      <t xml:space="preserve">가 달라진다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</si>
  <si>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석고 입고 분석</t>
    </r>
    <r>
      <rPr>
        <sz val="10"/>
        <rFont val="맑은 고딕"/>
        <family val="0"/>
        <charset val="1"/>
      </rPr>
      <t xml:space="preserve">(SO₃·</t>
    </r>
    <r>
      <rPr>
        <sz val="10"/>
        <rFont val="맑은 고딕"/>
        <family val="2"/>
      </rPr>
      <t xml:space="preserve">결정수</t>
    </r>
    <r>
      <rPr>
        <sz val="10"/>
        <rFont val="맑은 고딕"/>
        <family val="0"/>
        <charset val="1"/>
      </rPr>
      <t xml:space="preserve">) / </t>
    </r>
    <r>
      <rPr>
        <sz val="10"/>
        <rFont val="맑은 고딕"/>
        <family val="2"/>
      </rPr>
      <t xml:space="preserve">석고 혼용 비율 확인</t>
    </r>
  </si>
  <si>
    <t xml:space="preserve">석고 투입량 보정</t>
  </si>
  <si>
    <r>
      <rPr>
        <sz val="10"/>
        <rFont val="맑은 고딕"/>
        <family val="2"/>
      </rPr>
      <t xml:space="preserve">석고 입고 검사 기준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혼용 비율 관리</t>
    </r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</si>
  <si>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SO₃ </t>
    </r>
    <r>
      <rPr>
        <sz val="10"/>
        <rFont val="맑은 고딕"/>
        <family val="2"/>
      </rPr>
      <t xml:space="preserve">증가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연료 황분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휘발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</si>
  <si>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연료 황분 증가나 소성 분위기 변화로 클링커 </t>
    </r>
    <r>
      <rPr>
        <sz val="10"/>
        <rFont val="맑은 고딕"/>
        <family val="0"/>
        <charset val="1"/>
      </rPr>
      <t xml:space="preserve">SO₃</t>
    </r>
    <r>
      <rPr>
        <sz val="10"/>
        <rFont val="맑은 고딕"/>
        <family val="2"/>
      </rPr>
      <t xml:space="preserve">가 변하면 시멘트 </t>
    </r>
    <r>
      <rPr>
        <sz val="10"/>
        <rFont val="맑은 고딕"/>
        <family val="0"/>
        <charset val="1"/>
      </rPr>
      <t xml:space="preserve">SO₃</t>
    </r>
    <r>
      <rPr>
        <sz val="10"/>
        <rFont val="맑은 고딕"/>
        <family val="2"/>
      </rPr>
      <t xml:space="preserve">도 변한다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</si>
  <si>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SO₃↑</t>
    </r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</si>
  <si>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SO₃·</t>
    </r>
    <r>
      <rPr>
        <sz val="10"/>
        <rFont val="맑은 고딕"/>
        <family val="2"/>
      </rPr>
      <t xml:space="preserve">연료 황분 확인</t>
    </r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</si>
  <si>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SO₃</t>
    </r>
    <r>
      <rPr>
        <sz val="10"/>
        <rFont val="맑은 고딕"/>
        <family val="2"/>
      </rPr>
      <t xml:space="preserve">를 반영한 석고 투입 제어</t>
    </r>
  </si>
  <si>
    <r>
      <rPr>
        <sz val="10"/>
        <rFont val="맑은 고딕"/>
        <family val="0"/>
        <charset val="1"/>
      </rPr>
      <t xml:space="preserve">SO₃ </t>
    </r>
    <r>
      <rPr>
        <sz val="10"/>
        <rFont val="맑은 고딕"/>
        <family val="2"/>
      </rPr>
      <t xml:space="preserve">분석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시료 채취 오차</t>
    </r>
  </si>
  <si>
    <r>
      <rPr>
        <sz val="10"/>
        <rFont val="맑은 고딕"/>
        <family val="2"/>
      </rPr>
      <t xml:space="preserve">시멘트 </t>
    </r>
    <r>
      <rPr>
        <sz val="10"/>
        <rFont val="맑은 고딕"/>
        <family val="0"/>
        <charset val="1"/>
      </rPr>
      <t xml:space="preserve">SO₃ </t>
    </r>
    <r>
      <rPr>
        <sz val="10"/>
        <rFont val="맑은 고딕"/>
        <family val="2"/>
      </rPr>
      <t xml:space="preserve">부족</t>
    </r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</si>
  <si>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SO₃ </t>
    </r>
    <r>
      <rPr>
        <sz val="10"/>
        <rFont val="맑은 고딕"/>
        <family val="2"/>
      </rPr>
      <t xml:space="preserve">감소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연료 황분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휘발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</si>
  <si>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SO₃↓</t>
    </r>
  </si>
  <si>
    <r>
      <rPr>
        <sz val="10"/>
        <rFont val="맑은 고딕"/>
        <family val="2"/>
      </rPr>
      <t xml:space="preserve">시멘트 분말도</t>
    </r>
    <r>
      <rPr>
        <sz val="10"/>
        <rFont val="맑은 고딕"/>
        <family val="0"/>
        <charset val="1"/>
      </rPr>
      <t xml:space="preserve">(Blaine) </t>
    </r>
    <r>
      <rPr>
        <sz val="10"/>
        <rFont val="맑은 고딕"/>
        <family val="2"/>
      </rPr>
      <t xml:space="preserve">저하</t>
    </r>
  </si>
  <si>
    <t xml:space="preserve">세퍼레이터 분급 성능 저하</t>
  </si>
  <si>
    <r>
      <rPr>
        <sz val="10"/>
        <rFont val="맑은 고딕"/>
        <family val="2"/>
      </rPr>
      <t xml:space="preserve">로터 속도 저하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블레이드 마모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풍량 변화 시 조립자가 제품으로 넘어가 분말도↓</t>
    </r>
    <r>
      <rPr>
        <sz val="10"/>
        <rFont val="맑은 고딕"/>
        <family val="0"/>
        <charset val="1"/>
      </rPr>
      <t xml:space="preserve">·45μm </t>
    </r>
    <r>
      <rPr>
        <sz val="10"/>
        <rFont val="맑은 고딕"/>
        <family val="2"/>
      </rPr>
      <t xml:space="preserve">잔사↑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</si>
  <si>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시멘트 </t>
    </r>
    <r>
      <rPr>
        <sz val="10"/>
        <rFont val="맑은 고딕"/>
        <family val="0"/>
        <charset val="1"/>
      </rPr>
      <t xml:space="preserve">45μm </t>
    </r>
    <r>
      <rPr>
        <sz val="10"/>
        <rFont val="맑은 고딕"/>
        <family val="2"/>
      </rPr>
      <t xml:space="preserve">잔사↑</t>
    </r>
  </si>
  <si>
    <r>
      <rPr>
        <sz val="10"/>
        <rFont val="맑은 고딕"/>
        <family val="2"/>
      </rPr>
      <t xml:space="preserve">세퍼레이터 </t>
    </r>
    <r>
      <rPr>
        <sz val="10"/>
        <rFont val="맑은 고딕"/>
        <family val="0"/>
        <charset val="1"/>
      </rPr>
      <t xml:space="preserve">rpm·</t>
    </r>
    <r>
      <rPr>
        <sz val="10"/>
        <rFont val="맑은 고딕"/>
        <family val="2"/>
      </rPr>
      <t xml:space="preserve">풍량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차압 확인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로터 블레이드 마모 점검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제품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리젝트 입도 비교</t>
    </r>
    <r>
      <rPr>
        <sz val="10"/>
        <rFont val="맑은 고딕"/>
        <family val="0"/>
        <charset val="1"/>
      </rPr>
      <t xml:space="preserve">(Tromp </t>
    </r>
    <r>
      <rPr>
        <sz val="10"/>
        <rFont val="맑은 고딕"/>
        <family val="2"/>
      </rPr>
      <t xml:space="preserve">곡선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</si>
  <si>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세퍼레이터 속도 상향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풍량 조정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분말도 회복까지 출하 품질 확인 강화</t>
    </r>
  </si>
  <si>
    <r>
      <rPr>
        <sz val="10"/>
        <rFont val="맑은 고딕"/>
        <family val="2"/>
      </rPr>
      <t xml:space="preserve">세퍼레이터 예방정비 주기 수립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분급 효율 정기 평가</t>
    </r>
    <r>
      <rPr>
        <sz val="10"/>
        <rFont val="맑은 고딕"/>
        <family val="0"/>
        <charset val="1"/>
      </rPr>
      <t xml:space="preserve">(Tromp </t>
    </r>
    <r>
      <rPr>
        <sz val="10"/>
        <rFont val="맑은 고딕"/>
        <family val="2"/>
      </rPr>
      <t xml:space="preserve">곡선</t>
    </r>
    <r>
      <rPr>
        <sz val="10"/>
        <rFont val="맑은 고딕"/>
        <family val="0"/>
        <charset val="1"/>
      </rPr>
      <t xml:space="preserve">)</t>
    </r>
  </si>
  <si>
    <t xml:space="preserve">밀 투입량 과다</t>
  </si>
  <si>
    <r>
      <rPr>
        <sz val="10"/>
        <rFont val="맑은 고딕"/>
        <family val="2"/>
      </rPr>
      <t xml:space="preserve">투입량을 늘리면 체류시간이 짧아져 분말도가 낮아진다</t>
    </r>
    <r>
      <rPr>
        <sz val="10"/>
        <rFont val="맑은 고딕"/>
        <family val="0"/>
        <charset val="1"/>
      </rPr>
      <t xml:space="preserve">.</t>
    </r>
  </si>
  <si>
    <t xml:space="preserve">시멘트밀 투입량↑</t>
  </si>
  <si>
    <t xml:space="preserve">투입량 원복</t>
  </si>
  <si>
    <r>
      <rPr>
        <sz val="10"/>
        <rFont val="맑은 고딕"/>
        <family val="2"/>
      </rPr>
      <t xml:space="preserve">분말도</t>
    </r>
    <r>
      <rPr>
        <sz val="10"/>
        <rFont val="맑은 고딕"/>
        <family val="0"/>
        <charset val="1"/>
      </rPr>
      <t xml:space="preserve">-</t>
    </r>
    <r>
      <rPr>
        <sz val="10"/>
        <rFont val="맑은 고딕"/>
        <family val="2"/>
      </rPr>
      <t xml:space="preserve">투입량 연동 제어</t>
    </r>
  </si>
  <si>
    <r>
      <rPr>
        <sz val="10"/>
        <rFont val="맑은 고딕"/>
        <family val="2"/>
      </rPr>
      <t xml:space="preserve">분쇄 매체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볼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마모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충진율 저하</t>
    </r>
  </si>
  <si>
    <r>
      <rPr>
        <sz val="10"/>
        <rFont val="맑은 고딕"/>
        <family val="2"/>
      </rPr>
      <t xml:space="preserve">볼 마모로 충진율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크기 분포가 변하면 분쇄 효율이 떨어진다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</si>
  <si>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밀 전력 원단위 추이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볼 충진율 측정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정지 시</t>
    </r>
    <r>
      <rPr>
        <sz val="10"/>
        <rFont val="맑은 고딕"/>
        <family val="0"/>
        <charset val="1"/>
      </rPr>
      <t xml:space="preserve">) / </t>
    </r>
    <r>
      <rPr>
        <sz val="10"/>
        <rFont val="맑은 고딕"/>
        <family val="2"/>
      </rPr>
      <t xml:space="preserve">밀 내부 다이어프램 막힘 점검</t>
    </r>
  </si>
  <si>
    <t xml:space="preserve">볼 보충 계획 앞당김</t>
  </si>
  <si>
    <r>
      <rPr>
        <sz val="10"/>
        <rFont val="맑은 고딕"/>
        <family val="2"/>
      </rPr>
      <t xml:space="preserve">볼 충진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분급 관리 기준 수립</t>
    </r>
  </si>
  <si>
    <r>
      <rPr>
        <sz val="10"/>
        <rFont val="맑은 고딕"/>
        <family val="2"/>
      </rPr>
      <t xml:space="preserve">클링커 분쇄성 저하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과소성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벨라이트↑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</si>
  <si>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과소성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조밀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클링커나 </t>
    </r>
    <r>
      <rPr>
        <sz val="10"/>
        <rFont val="맑은 고딕"/>
        <family val="0"/>
        <charset val="1"/>
      </rPr>
      <t xml:space="preserve">C₂S</t>
    </r>
    <r>
      <rPr>
        <sz val="10"/>
        <rFont val="맑은 고딕"/>
        <family val="2"/>
      </rPr>
      <t xml:space="preserve">가 많은 클링커는 분쇄가 어렵다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</si>
  <si>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클링커 리터중량↑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C₂S↑</t>
    </r>
  </si>
  <si>
    <r>
      <rPr>
        <sz val="10"/>
        <rFont val="맑은 고딕"/>
        <family val="2"/>
      </rPr>
      <t xml:space="preserve">클링커 리터중량</t>
    </r>
    <r>
      <rPr>
        <sz val="10"/>
        <rFont val="맑은 고딕"/>
        <family val="0"/>
        <charset val="1"/>
      </rPr>
      <t xml:space="preserve">·C₂S </t>
    </r>
    <r>
      <rPr>
        <sz val="10"/>
        <rFont val="맑은 고딕"/>
        <family val="2"/>
      </rPr>
      <t xml:space="preserve">확인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밀 전력 원단위 확인</t>
    </r>
  </si>
  <si>
    <t xml:space="preserve">분쇄조제 투입 검토</t>
  </si>
  <si>
    <r>
      <rPr>
        <sz val="10"/>
        <rFont val="맑은 고딕"/>
        <family val="2"/>
      </rPr>
      <t xml:space="preserve">클링커 품질 목표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리터중량</t>
    </r>
    <r>
      <rPr>
        <sz val="10"/>
        <rFont val="맑은 고딕"/>
        <family val="0"/>
        <charset val="1"/>
      </rPr>
      <t xml:space="preserve">·C₂S) </t>
    </r>
    <r>
      <rPr>
        <sz val="10"/>
        <rFont val="맑은 고딕"/>
        <family val="2"/>
      </rPr>
      <t xml:space="preserve">관리</t>
    </r>
  </si>
  <si>
    <r>
      <rPr>
        <sz val="10"/>
        <rFont val="맑은 고딕"/>
        <family val="2"/>
      </rPr>
      <t xml:space="preserve">분말도 분석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시료 채취 오차</t>
    </r>
  </si>
  <si>
    <t xml:space="preserve">초결 시간 지연</t>
  </si>
  <si>
    <r>
      <rPr>
        <sz val="10"/>
        <rFont val="맑은 고딕"/>
        <family val="0"/>
        <charset val="1"/>
      </rPr>
      <t xml:space="preserve">SO₃ </t>
    </r>
    <r>
      <rPr>
        <sz val="10"/>
        <rFont val="맑은 고딕"/>
        <family val="2"/>
      </rPr>
      <t xml:space="preserve">과다</t>
    </r>
  </si>
  <si>
    <r>
      <rPr>
        <sz val="10"/>
        <rFont val="맑은 고딕"/>
        <family val="2"/>
      </rPr>
      <t xml:space="preserve">석고</t>
    </r>
    <r>
      <rPr>
        <sz val="10"/>
        <rFont val="맑은 고딕"/>
        <family val="0"/>
        <charset val="1"/>
      </rPr>
      <t xml:space="preserve">(SO₃) </t>
    </r>
    <r>
      <rPr>
        <sz val="10"/>
        <rFont val="맑은 고딕"/>
        <family val="2"/>
      </rPr>
      <t xml:space="preserve">증가는 </t>
    </r>
    <r>
      <rPr>
        <sz val="10"/>
        <rFont val="맑은 고딕"/>
        <family val="0"/>
        <charset val="1"/>
      </rPr>
      <t xml:space="preserve">C₃A </t>
    </r>
    <r>
      <rPr>
        <sz val="10"/>
        <rFont val="맑은 고딕"/>
        <family val="2"/>
      </rPr>
      <t xml:space="preserve">수화를 억제해 응결을 지연시킨다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</si>
  <si>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시멘트 </t>
    </r>
    <r>
      <rPr>
        <sz val="10"/>
        <rFont val="맑은 고딕"/>
        <family val="0"/>
        <charset val="1"/>
      </rPr>
      <t xml:space="preserve">SO₃↑</t>
    </r>
  </si>
  <si>
    <r>
      <rPr>
        <sz val="10"/>
        <rFont val="맑은 고딕"/>
        <family val="0"/>
        <charset val="1"/>
      </rPr>
      <t xml:space="preserve">SO₃ </t>
    </r>
    <r>
      <rPr>
        <sz val="10"/>
        <rFont val="맑은 고딕"/>
        <family val="2"/>
      </rPr>
      <t xml:space="preserve">재분석</t>
    </r>
  </si>
  <si>
    <r>
      <rPr>
        <sz val="10"/>
        <rFont val="맑은 고딕"/>
        <family val="2"/>
      </rPr>
      <t xml:space="preserve">품종별 </t>
    </r>
    <r>
      <rPr>
        <sz val="10"/>
        <rFont val="맑은 고딕"/>
        <family val="0"/>
        <charset val="1"/>
      </rPr>
      <t xml:space="preserve">SO₃ </t>
    </r>
    <r>
      <rPr>
        <sz val="10"/>
        <rFont val="맑은 고딕"/>
        <family val="2"/>
      </rPr>
      <t xml:space="preserve">최적치 관리</t>
    </r>
  </si>
  <si>
    <t xml:space="preserve">분말도 저하</t>
  </si>
  <si>
    <r>
      <rPr>
        <sz val="10"/>
        <rFont val="맑은 고딕"/>
        <family val="2"/>
      </rPr>
      <t xml:space="preserve">분말도가 낮으면 수화가 느려 응결이 지연된다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</si>
  <si>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시멘트 분말도</t>
    </r>
    <r>
      <rPr>
        <sz val="10"/>
        <rFont val="맑은 고딕"/>
        <family val="0"/>
        <charset val="1"/>
      </rPr>
      <t xml:space="preserve">(Blaine)↓</t>
    </r>
  </si>
  <si>
    <r>
      <rPr>
        <sz val="10"/>
        <rFont val="맑은 고딕"/>
        <family val="0"/>
        <charset val="1"/>
      </rPr>
      <t xml:space="preserve">Blaine </t>
    </r>
    <r>
      <rPr>
        <sz val="10"/>
        <rFont val="맑은 고딕"/>
        <family val="2"/>
      </rPr>
      <t xml:space="preserve">재측정</t>
    </r>
  </si>
  <si>
    <t xml:space="preserve">분말도 회복</t>
  </si>
  <si>
    <t xml:space="preserve">분말도 관리 강화</t>
  </si>
  <si>
    <r>
      <rPr>
        <sz val="10"/>
        <rFont val="맑은 고딕"/>
        <family val="2"/>
      </rPr>
      <t xml:space="preserve">분쇄조제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유기물 과다</t>
    </r>
  </si>
  <si>
    <r>
      <rPr>
        <sz val="10"/>
        <rFont val="맑은 고딕"/>
        <family val="2"/>
      </rPr>
      <t xml:space="preserve">분쇄조제 과다 투입이나 유기물 혼입은 응결을 지연시킬 수 있다</t>
    </r>
    <r>
      <rPr>
        <sz val="10"/>
        <rFont val="맑은 고딕"/>
        <family val="0"/>
        <charset val="1"/>
      </rPr>
      <t xml:space="preserve">.</t>
    </r>
  </si>
  <si>
    <t xml:space="preserve">분쇄조제 투입량 확인</t>
  </si>
  <si>
    <t xml:space="preserve">분쇄조제 투입량 복귀</t>
  </si>
  <si>
    <t xml:space="preserve">분쇄조제 투입 관리 기준</t>
  </si>
  <si>
    <r>
      <rPr>
        <sz val="10"/>
        <rFont val="맑은 고딕"/>
        <family val="2"/>
      </rPr>
      <t xml:space="preserve">시험 온도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표준주도 조건</t>
    </r>
  </si>
  <si>
    <r>
      <rPr>
        <sz val="10"/>
        <rFont val="맑은 고딕"/>
        <family val="2"/>
      </rPr>
      <t xml:space="preserve">시험실 온도가 낮거나 표준주도 수량이 많으면 응결이 길게 측정된다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</si>
  <si>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시험실 온도↓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시험실 온도 기준 이탈</t>
    </r>
  </si>
  <si>
    <r>
      <rPr>
        <sz val="10"/>
        <rFont val="맑은 고딕"/>
        <family val="2"/>
      </rPr>
      <t xml:space="preserve">시험실 온도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표준주도 수량 확인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재시험</t>
    </r>
  </si>
  <si>
    <t xml:space="preserve">재시험으로 확정</t>
  </si>
  <si>
    <t xml:space="preserve">시험조건 기록 자동화</t>
  </si>
  <si>
    <t xml:space="preserve">초결 시간 단축</t>
  </si>
  <si>
    <r>
      <rPr>
        <sz val="10"/>
        <rFont val="맑은 고딕"/>
        <family val="0"/>
        <charset val="1"/>
      </rPr>
      <t xml:space="preserve">SO₃ </t>
    </r>
    <r>
      <rPr>
        <sz val="10"/>
        <rFont val="맑은 고딕"/>
        <family val="2"/>
      </rPr>
      <t xml:space="preserve">부족</t>
    </r>
  </si>
  <si>
    <r>
      <rPr>
        <sz val="10"/>
        <rFont val="맑은 고딕"/>
        <family val="2"/>
      </rPr>
      <t xml:space="preserve">석고가 부족하면 </t>
    </r>
    <r>
      <rPr>
        <sz val="10"/>
        <rFont val="맑은 고딕"/>
        <family val="0"/>
        <charset val="1"/>
      </rPr>
      <t xml:space="preserve">C₃A</t>
    </r>
    <r>
      <rPr>
        <sz val="10"/>
        <rFont val="맑은 고딕"/>
        <family val="2"/>
      </rPr>
      <t xml:space="preserve">가 급격히 수화해 응결이 빨라진다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</si>
  <si>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시멘트 </t>
    </r>
    <r>
      <rPr>
        <sz val="10"/>
        <rFont val="맑은 고딕"/>
        <family val="0"/>
        <charset val="1"/>
      </rPr>
      <t xml:space="preserve">SO₃↓</t>
    </r>
  </si>
  <si>
    <r>
      <rPr>
        <sz val="10"/>
        <rFont val="맑은 고딕"/>
        <family val="2"/>
      </rPr>
      <t xml:space="preserve">밀 출구 온도 과고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석고 탈수 → 위응결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</si>
  <si>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밀 온도가 높으면 이수석고가 반수석고로 탈수되어 위응결</t>
    </r>
    <r>
      <rPr>
        <sz val="10"/>
        <rFont val="맑은 고딕"/>
        <family val="0"/>
        <charset val="1"/>
      </rPr>
      <t xml:space="preserve">(false set)</t>
    </r>
    <r>
      <rPr>
        <sz val="10"/>
        <rFont val="맑은 고딕"/>
        <family val="2"/>
      </rPr>
      <t xml:space="preserve">이 생길 수 있다</t>
    </r>
    <r>
      <rPr>
        <sz val="10"/>
        <rFont val="맑은 고딕"/>
        <family val="0"/>
        <charset val="1"/>
      </rPr>
      <t xml:space="preserve">.</t>
    </r>
  </si>
  <si>
    <t xml:space="preserve">시멘트밀 출구 온도↑</t>
  </si>
  <si>
    <r>
      <rPr>
        <sz val="10"/>
        <rFont val="맑은 고딕"/>
        <family val="2"/>
      </rPr>
      <t xml:space="preserve">밀 출구 온도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살수량 확인</t>
    </r>
  </si>
  <si>
    <r>
      <rPr>
        <sz val="10"/>
        <rFont val="맑은 고딕"/>
        <family val="2"/>
      </rPr>
      <t xml:space="preserve">밀 살수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냉각 강화</t>
    </r>
  </si>
  <si>
    <r>
      <rPr>
        <sz val="10"/>
        <rFont val="맑은 고딕"/>
        <family val="2"/>
      </rPr>
      <t xml:space="preserve">밀 온도 상한 관리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예</t>
    </r>
    <r>
      <rPr>
        <sz val="10"/>
        <rFont val="맑은 고딕"/>
        <family val="0"/>
        <charset val="1"/>
      </rPr>
      <t xml:space="preserve">: 120 ℃)</t>
    </r>
  </si>
  <si>
    <r>
      <rPr>
        <sz val="10"/>
        <rFont val="맑은 고딕"/>
        <family val="0"/>
        <charset val="1"/>
      </rPr>
      <t xml:space="preserve">C₃A </t>
    </r>
    <r>
      <rPr>
        <sz val="10"/>
        <rFont val="맑은 고딕"/>
        <family val="2"/>
      </rPr>
      <t xml:space="preserve">증가</t>
    </r>
  </si>
  <si>
    <r>
      <rPr>
        <sz val="10"/>
        <rFont val="맑은 고딕"/>
        <family val="0"/>
        <charset val="1"/>
      </rPr>
      <t xml:space="preserve">C₃A</t>
    </r>
    <r>
      <rPr>
        <sz val="10"/>
        <rFont val="맑은 고딕"/>
        <family val="2"/>
      </rPr>
      <t xml:space="preserve">가 많으면 초기 수화가 빨라 응결이 짧아진다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</si>
  <si>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C₃A(Bogue)↑</t>
    </r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</si>
  <si>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Al₂O₃·Fe₂O₃(IM) </t>
    </r>
    <r>
      <rPr>
        <sz val="10"/>
        <rFont val="맑은 고딕"/>
        <family val="2"/>
      </rPr>
      <t xml:space="preserve">확인</t>
    </r>
  </si>
  <si>
    <r>
      <rPr>
        <sz val="10"/>
        <rFont val="맑은 고딕"/>
        <family val="0"/>
        <charset val="1"/>
      </rPr>
      <t xml:space="preserve">SO₃ </t>
    </r>
    <r>
      <rPr>
        <sz val="10"/>
        <rFont val="맑은 고딕"/>
        <family val="2"/>
      </rPr>
      <t xml:space="preserve">상향 검토</t>
    </r>
  </si>
  <si>
    <r>
      <rPr>
        <sz val="10"/>
        <rFont val="맑은 고딕"/>
        <family val="0"/>
        <charset val="1"/>
      </rPr>
      <t xml:space="preserve">IM </t>
    </r>
    <r>
      <rPr>
        <sz val="10"/>
        <rFont val="맑은 고딕"/>
        <family val="2"/>
      </rPr>
      <t xml:space="preserve">목표 관리</t>
    </r>
  </si>
  <si>
    <t xml:space="preserve">분말도 과다</t>
  </si>
  <si>
    <r>
      <rPr>
        <sz val="10"/>
        <rFont val="맑은 고딕"/>
        <family val="2"/>
      </rPr>
      <t xml:space="preserve">분말도가 높으면 수화가 빨라 응결이 짧아진다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</si>
  <si>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시멘트 분말도</t>
    </r>
    <r>
      <rPr>
        <sz val="10"/>
        <rFont val="맑은 고딕"/>
        <family val="0"/>
        <charset val="1"/>
      </rPr>
      <t xml:space="preserve">(Blaine)↑</t>
    </r>
  </si>
  <si>
    <t xml:space="preserve">분말도 조정</t>
  </si>
  <si>
    <t xml:space="preserve">분말도 관리 범위 준수</t>
  </si>
  <si>
    <r>
      <rPr>
        <sz val="10"/>
        <rFont val="맑은 고딕"/>
        <family val="2"/>
      </rPr>
      <t xml:space="preserve">시험실 온도가 높으면 응결이 짧게 측정된다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</si>
  <si>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시험실 온도↑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시험실 온도 기준 이탈</t>
    </r>
  </si>
  <si>
    <r>
      <rPr>
        <sz val="10"/>
        <rFont val="맑은 고딕"/>
        <family val="2"/>
      </rPr>
      <t xml:space="preserve">시험실 온도 확인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재시험</t>
    </r>
  </si>
  <si>
    <t xml:space="preserve">종결 시간 지연</t>
  </si>
  <si>
    <t xml:space="preserve">종결 시간 단축</t>
  </si>
  <si>
    <r>
      <rPr>
        <sz val="10"/>
        <rFont val="맑은 고딕"/>
        <family val="2"/>
      </rPr>
      <t xml:space="preserve">오토클레이브 팽창도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안정도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상승</t>
    </r>
  </si>
  <si>
    <r>
      <rPr>
        <sz val="10"/>
        <rFont val="맑은 고딕"/>
        <family val="0"/>
        <charset val="1"/>
      </rPr>
      <t xml:space="preserve">MgO </t>
    </r>
    <r>
      <rPr>
        <sz val="10"/>
        <rFont val="맑은 고딕"/>
        <family val="2"/>
      </rPr>
      <t xml:space="preserve">증가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석회석 백운석 혼입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</si>
  <si>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MgO</t>
    </r>
    <r>
      <rPr>
        <sz val="10"/>
        <rFont val="맑은 고딕"/>
        <family val="2"/>
      </rPr>
      <t xml:space="preserve">가 클링커에 고용 한계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약 </t>
    </r>
    <r>
      <rPr>
        <sz val="10"/>
        <rFont val="맑은 고딕"/>
        <family val="0"/>
        <charset val="1"/>
      </rPr>
      <t xml:space="preserve">2%) </t>
    </r>
    <r>
      <rPr>
        <sz val="10"/>
        <rFont val="맑은 고딕"/>
        <family val="2"/>
      </rPr>
      <t xml:space="preserve">이상 들어가면 페리클레이스로 존재해 장기 팽창을 일으킨다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</si>
  <si>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시멘트 </t>
    </r>
    <r>
      <rPr>
        <sz val="10"/>
        <rFont val="맑은 고딕"/>
        <family val="0"/>
        <charset val="1"/>
      </rPr>
      <t xml:space="preserve">MgO↑, </t>
    </r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MgO↑, </t>
    </r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MgO↑</t>
    </r>
  </si>
  <si>
    <r>
      <rPr>
        <sz val="10"/>
        <rFont val="맑은 고딕"/>
        <family val="2"/>
      </rPr>
      <t xml:space="preserve">시멘트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클링커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석회석 </t>
    </r>
    <r>
      <rPr>
        <sz val="10"/>
        <rFont val="맑은 고딕"/>
        <family val="0"/>
        <charset val="1"/>
      </rPr>
      <t xml:space="preserve">MgO </t>
    </r>
    <r>
      <rPr>
        <sz val="10"/>
        <rFont val="맑은 고딕"/>
        <family val="2"/>
      </rPr>
      <t xml:space="preserve">분석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채광 구역별 </t>
    </r>
    <r>
      <rPr>
        <sz val="10"/>
        <rFont val="맑은 고딕"/>
        <family val="0"/>
        <charset val="1"/>
      </rPr>
      <t xml:space="preserve">MgO(</t>
    </r>
    <r>
      <rPr>
        <sz val="10"/>
        <rFont val="맑은 고딕"/>
        <family val="2"/>
      </rPr>
      <t xml:space="preserve">백운석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분포 확인 </t>
    </r>
    <r>
      <rPr>
        <sz val="10"/>
        <rFont val="맑은 고딕"/>
        <family val="0"/>
        <charset val="1"/>
      </rPr>
      <t xml:space="preserve">/ XRD </t>
    </r>
    <r>
      <rPr>
        <sz val="10"/>
        <rFont val="맑은 고딕"/>
        <family val="2"/>
      </rPr>
      <t xml:space="preserve">페리클레이스 정량</t>
    </r>
  </si>
  <si>
    <r>
      <rPr>
        <sz val="10"/>
        <rFont val="맑은 고딕"/>
        <family val="2"/>
      </rPr>
      <t xml:space="preserve">고</t>
    </r>
    <r>
      <rPr>
        <sz val="10"/>
        <rFont val="맑은 고딕"/>
        <family val="0"/>
        <charset val="1"/>
      </rPr>
      <t xml:space="preserve">MgO </t>
    </r>
    <r>
      <rPr>
        <sz val="10"/>
        <rFont val="맑은 고딕"/>
        <family val="2"/>
      </rPr>
      <t xml:space="preserve">석회석 사용 중단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저</t>
    </r>
    <r>
      <rPr>
        <sz val="10"/>
        <rFont val="맑은 고딕"/>
        <family val="0"/>
        <charset val="1"/>
      </rPr>
      <t xml:space="preserve">MgO </t>
    </r>
    <r>
      <rPr>
        <sz val="10"/>
        <rFont val="맑은 고딕"/>
        <family val="2"/>
      </rPr>
      <t xml:space="preserve">원료와 블렌딩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출하 전 안정도 시험 강화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로트별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</si>
  <si>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채광 계획에 </t>
    </r>
    <r>
      <rPr>
        <sz val="10"/>
        <rFont val="맑은 고딕"/>
        <family val="0"/>
        <charset val="1"/>
      </rPr>
      <t xml:space="preserve">MgO </t>
    </r>
    <r>
      <rPr>
        <sz val="10"/>
        <rFont val="맑은 고딕"/>
        <family val="2"/>
      </rPr>
      <t xml:space="preserve">품위 관리 반영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클링커 급랭으로 페리클레이스 미세화</t>
    </r>
  </si>
  <si>
    <r>
      <rPr>
        <sz val="10"/>
        <rFont val="맑은 고딕"/>
        <family val="2"/>
      </rPr>
      <t xml:space="preserve">이론</t>
    </r>
    <r>
      <rPr>
        <sz val="10"/>
        <rFont val="맑은 고딕"/>
        <family val="0"/>
        <charset val="1"/>
      </rPr>
      <t xml:space="preserve">+</t>
    </r>
    <r>
      <rPr>
        <sz val="10"/>
        <rFont val="맑은 고딕"/>
        <family val="2"/>
      </rPr>
      <t xml:space="preserve">규격</t>
    </r>
  </si>
  <si>
    <r>
      <rPr>
        <sz val="10"/>
        <rFont val="맑은 고딕"/>
        <family val="0"/>
        <charset val="1"/>
      </rPr>
      <t xml:space="preserve">f-CaO </t>
    </r>
    <r>
      <rPr>
        <sz val="10"/>
        <rFont val="맑은 고딕"/>
        <family val="2"/>
      </rPr>
      <t xml:space="preserve">과다</t>
    </r>
  </si>
  <si>
    <r>
      <rPr>
        <sz val="10"/>
        <rFont val="맑은 고딕"/>
        <family val="2"/>
      </rPr>
      <t xml:space="preserve">미반응 석회의 수화 팽창도 안정도를 악화시킨다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</si>
  <si>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클링커 자유석회</t>
    </r>
    <r>
      <rPr>
        <sz val="10"/>
        <rFont val="맑은 고딕"/>
        <family val="0"/>
        <charset val="1"/>
      </rPr>
      <t xml:space="preserve">(f-CaO)↑</t>
    </r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</si>
  <si>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f-CaO </t>
    </r>
    <r>
      <rPr>
        <sz val="10"/>
        <rFont val="맑은 고딕"/>
        <family val="2"/>
      </rPr>
      <t xml:space="preserve">확인</t>
    </r>
  </si>
  <si>
    <t xml:space="preserve">소성 강화</t>
  </si>
  <si>
    <r>
      <rPr>
        <sz val="10"/>
        <rFont val="맑은 고딕"/>
        <family val="0"/>
        <charset val="1"/>
      </rPr>
      <t xml:space="preserve">f-CaO </t>
    </r>
    <r>
      <rPr>
        <sz val="10"/>
        <rFont val="맑은 고딕"/>
        <family val="2"/>
      </rPr>
      <t xml:space="preserve">관리 강화</t>
    </r>
  </si>
  <si>
    <r>
      <rPr>
        <sz val="10"/>
        <rFont val="맑은 고딕"/>
        <family val="2"/>
      </rPr>
      <t xml:space="preserve">클링커 냉각 지연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페리클레이스 조대화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</si>
  <si>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서랭하면 페리클레이스 결정이 커져 팽창 위험이 커진다</t>
    </r>
    <r>
      <rPr>
        <sz val="10"/>
        <rFont val="맑은 고딕"/>
        <family val="0"/>
        <charset val="1"/>
      </rPr>
      <t xml:space="preserve">.</t>
    </r>
  </si>
  <si>
    <t xml:space="preserve">냉각기 운전 상태 확인</t>
  </si>
  <si>
    <t xml:space="preserve">냉각기 운전 조정</t>
  </si>
  <si>
    <t xml:space="preserve">냉각기 성능 개선</t>
  </si>
  <si>
    <t xml:space="preserve">문헌</t>
  </si>
  <si>
    <r>
      <rPr>
        <sz val="10"/>
        <rFont val="맑은 고딕"/>
        <family val="2"/>
      </rPr>
      <t xml:space="preserve">오토클레이브 시험 분석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시료 채취 오차</t>
    </r>
  </si>
  <si>
    <r>
      <rPr>
        <sz val="10"/>
        <rFont val="맑은 고딕"/>
        <family val="0"/>
        <charset val="1"/>
      </rPr>
      <t xml:space="preserve">MgO </t>
    </r>
    <r>
      <rPr>
        <sz val="10"/>
        <rFont val="맑은 고딕"/>
        <family val="2"/>
      </rPr>
      <t xml:space="preserve">상승</t>
    </r>
  </si>
  <si>
    <r>
      <rPr>
        <sz val="10"/>
        <rFont val="맑은 고딕"/>
        <family val="2"/>
      </rPr>
      <t xml:space="preserve">석회석 백운석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돌로마이트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혼입</t>
    </r>
  </si>
  <si>
    <r>
      <rPr>
        <sz val="10"/>
        <rFont val="맑은 고딕"/>
        <family val="2"/>
      </rPr>
      <t xml:space="preserve">채광 구역 내 백운석질 석회석이 섞이면 </t>
    </r>
    <r>
      <rPr>
        <sz val="10"/>
        <rFont val="맑은 고딕"/>
        <family val="0"/>
        <charset val="1"/>
      </rPr>
      <t xml:space="preserve">MgO</t>
    </r>
    <r>
      <rPr>
        <sz val="10"/>
        <rFont val="맑은 고딕"/>
        <family val="2"/>
      </rPr>
      <t xml:space="preserve">가 증가한다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</si>
  <si>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석회석 입고 </t>
    </r>
    <r>
      <rPr>
        <sz val="10"/>
        <rFont val="맑은 고딕"/>
        <family val="0"/>
        <charset val="1"/>
      </rPr>
      <t xml:space="preserve">MgO </t>
    </r>
    <r>
      <rPr>
        <sz val="10"/>
        <rFont val="맑은 고딕"/>
        <family val="2"/>
      </rPr>
      <t xml:space="preserve">분석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채광 구역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벤치 확인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파일 성분 확인</t>
    </r>
  </si>
  <si>
    <r>
      <rPr>
        <sz val="10"/>
        <rFont val="맑은 고딕"/>
        <family val="2"/>
      </rPr>
      <t xml:space="preserve">고</t>
    </r>
    <r>
      <rPr>
        <sz val="10"/>
        <rFont val="맑은 고딕"/>
        <family val="0"/>
        <charset val="1"/>
      </rPr>
      <t xml:space="preserve">MgO </t>
    </r>
    <r>
      <rPr>
        <sz val="10"/>
        <rFont val="맑은 고딕"/>
        <family val="2"/>
      </rPr>
      <t xml:space="preserve">원료 사용 비율 축소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블렌딩</t>
    </r>
  </si>
  <si>
    <r>
      <rPr>
        <sz val="10"/>
        <rFont val="맑은 고딕"/>
        <family val="2"/>
      </rPr>
      <t xml:space="preserve">채광 계획 단계 </t>
    </r>
    <r>
      <rPr>
        <sz val="10"/>
        <rFont val="맑은 고딕"/>
        <family val="0"/>
        <charset val="1"/>
      </rPr>
      <t xml:space="preserve">MgO </t>
    </r>
    <r>
      <rPr>
        <sz val="10"/>
        <rFont val="맑은 고딕"/>
        <family val="2"/>
      </rPr>
      <t xml:space="preserve">품위 관리</t>
    </r>
  </si>
  <si>
    <t xml:space="preserve">채광</t>
  </si>
  <si>
    <r>
      <rPr>
        <sz val="10"/>
        <rFont val="맑은 고딕"/>
        <family val="2"/>
      </rPr>
      <t xml:space="preserve">부원료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대체원료 </t>
    </r>
    <r>
      <rPr>
        <sz val="10"/>
        <rFont val="맑은 고딕"/>
        <family val="0"/>
        <charset val="1"/>
      </rPr>
      <t xml:space="preserve">MgO</t>
    </r>
  </si>
  <si>
    <r>
      <rPr>
        <sz val="10"/>
        <rFont val="맑은 고딕"/>
        <family val="2"/>
      </rPr>
      <t xml:space="preserve">슬래그 등 부원료의 </t>
    </r>
    <r>
      <rPr>
        <sz val="10"/>
        <rFont val="맑은 고딕"/>
        <family val="0"/>
        <charset val="1"/>
      </rPr>
      <t xml:space="preserve">MgO</t>
    </r>
    <r>
      <rPr>
        <sz val="10"/>
        <rFont val="맑은 고딕"/>
        <family val="2"/>
      </rPr>
      <t xml:space="preserve">가 높을 수 있다</t>
    </r>
    <r>
      <rPr>
        <sz val="10"/>
        <rFont val="맑은 고딕"/>
        <family val="0"/>
        <charset val="1"/>
      </rPr>
      <t xml:space="preserve">.</t>
    </r>
  </si>
  <si>
    <t xml:space="preserve">부원료 입고 분석</t>
  </si>
  <si>
    <t xml:space="preserve">부원료 비율 조정</t>
  </si>
  <si>
    <t xml:space="preserve">부원료 입고 기준 설정</t>
  </si>
  <si>
    <r>
      <rPr>
        <sz val="10"/>
        <rFont val="맑은 고딕"/>
        <family val="0"/>
        <charset val="1"/>
      </rPr>
      <t xml:space="preserve">MgO </t>
    </r>
    <r>
      <rPr>
        <sz val="10"/>
        <rFont val="맑은 고딕"/>
        <family val="2"/>
      </rPr>
      <t xml:space="preserve">분석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시료 채취 오차</t>
    </r>
  </si>
  <si>
    <t xml:space="preserve">소성대 온도 저하</t>
  </si>
  <si>
    <r>
      <rPr>
        <sz val="10"/>
        <rFont val="맑은 고딕"/>
        <family val="2"/>
      </rPr>
      <t xml:space="preserve">석탄 품질 저하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발열량↓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수분↑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</si>
  <si>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투입량을 늘렸는데도 온도가 낮으면 석탄 발열량 저하를 의심한다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</si>
  <si>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석탄 공업분석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입고 </t>
    </r>
    <r>
      <rPr>
        <sz val="10"/>
        <rFont val="맑은 고딕"/>
        <family val="0"/>
        <charset val="1"/>
      </rPr>
      <t xml:space="preserve">Lot </t>
    </r>
    <r>
      <rPr>
        <sz val="10"/>
        <rFont val="맑은 고딕"/>
        <family val="2"/>
      </rPr>
      <t xml:space="preserve">확인</t>
    </r>
  </si>
  <si>
    <r>
      <rPr>
        <sz val="10"/>
        <rFont val="맑은 고딕"/>
        <family val="2"/>
      </rPr>
      <t xml:space="preserve">고발열량 석탄 혼탄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석탄 건조 강화</t>
    </r>
  </si>
  <si>
    <t xml:space="preserve">석탄 입고 검사 기준 강화</t>
  </si>
  <si>
    <r>
      <rPr>
        <sz val="10"/>
        <rFont val="맑은 고딕"/>
        <family val="2"/>
      </rPr>
      <t xml:space="preserve">원료 투입량 증가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열부하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</si>
  <si>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투입량 증가 대비 연료 부족</t>
    </r>
    <r>
      <rPr>
        <sz val="10"/>
        <rFont val="맑은 고딕"/>
        <family val="0"/>
        <charset val="1"/>
      </rPr>
      <t xml:space="preserve">.</t>
    </r>
  </si>
  <si>
    <t xml:space="preserve">투입량 변경 이력</t>
  </si>
  <si>
    <r>
      <rPr>
        <sz val="10"/>
        <rFont val="맑은 고딕"/>
        <family val="2"/>
      </rPr>
      <t xml:space="preserve">투입량 원복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연료 증량</t>
    </r>
  </si>
  <si>
    <r>
      <rPr>
        <sz val="10"/>
        <rFont val="맑은 고딕"/>
        <family val="2"/>
      </rPr>
      <t xml:space="preserve">연소 공기 부족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불완전 연소</t>
    </r>
  </si>
  <si>
    <r>
      <rPr>
        <sz val="10"/>
        <rFont val="맑은 고딕"/>
        <family val="0"/>
        <charset val="1"/>
      </rPr>
      <t xml:space="preserve">O₂ </t>
    </r>
    <r>
      <rPr>
        <sz val="10"/>
        <rFont val="맑은 고딕"/>
        <family val="2"/>
      </rPr>
      <t xml:space="preserve">부족</t>
    </r>
    <r>
      <rPr>
        <sz val="10"/>
        <rFont val="맑은 고딕"/>
        <family val="0"/>
        <charset val="1"/>
      </rPr>
      <t xml:space="preserve">·CO </t>
    </r>
    <r>
      <rPr>
        <sz val="10"/>
        <rFont val="맑은 고딕"/>
        <family val="2"/>
      </rPr>
      <t xml:space="preserve">발생은 화염 온도를 낮춘다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</si>
  <si>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킬른 입구 </t>
    </r>
    <r>
      <rPr>
        <sz val="10"/>
        <rFont val="맑은 고딕"/>
        <family val="0"/>
        <charset val="1"/>
      </rPr>
      <t xml:space="preserve">O₂↓, </t>
    </r>
    <r>
      <rPr>
        <sz val="10"/>
        <rFont val="맑은 고딕"/>
        <family val="2"/>
      </rPr>
      <t xml:space="preserve">킬른 입구 </t>
    </r>
    <r>
      <rPr>
        <sz val="10"/>
        <rFont val="맑은 고딕"/>
        <family val="0"/>
        <charset val="1"/>
      </rPr>
      <t xml:space="preserve">CO↑</t>
    </r>
  </si>
  <si>
    <r>
      <rPr>
        <sz val="10"/>
        <rFont val="맑은 고딕"/>
        <family val="0"/>
        <charset val="1"/>
      </rPr>
      <t xml:space="preserve">O₂·CO </t>
    </r>
    <r>
      <rPr>
        <sz val="10"/>
        <rFont val="맑은 고딕"/>
        <family val="2"/>
      </rPr>
      <t xml:space="preserve">추이 </t>
    </r>
    <r>
      <rPr>
        <sz val="10"/>
        <rFont val="맑은 고딕"/>
        <family val="0"/>
        <charset val="1"/>
      </rPr>
      <t xml:space="preserve">/ ID </t>
    </r>
    <r>
      <rPr>
        <sz val="10"/>
        <rFont val="맑은 고딕"/>
        <family val="2"/>
      </rPr>
      <t xml:space="preserve">팬 부하</t>
    </r>
  </si>
  <si>
    <t xml:space="preserve">공기량 조정</t>
  </si>
  <si>
    <t xml:space="preserve">연소 제어 튜닝</t>
  </si>
  <si>
    <r>
      <rPr>
        <sz val="10"/>
        <rFont val="맑은 고딕"/>
        <family val="2"/>
      </rPr>
      <t xml:space="preserve">냉각기 열회수 저하</t>
    </r>
    <r>
      <rPr>
        <sz val="10"/>
        <rFont val="맑은 고딕"/>
        <family val="0"/>
        <charset val="1"/>
      </rPr>
      <t xml:space="preserve">(2</t>
    </r>
    <r>
      <rPr>
        <sz val="10"/>
        <rFont val="맑은 고딕"/>
        <family val="2"/>
      </rPr>
      <t xml:space="preserve">차 공기 온도↓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</si>
  <si>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맑은 고딕"/>
        <family val="2"/>
      </rPr>
      <t xml:space="preserve">차 공기 온도가 낮으면 화염 온도가 낮아진다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</si>
  <si>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냉각기 운전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클링커 베드 두께 확인</t>
    </r>
  </si>
  <si>
    <r>
      <rPr>
        <sz val="10"/>
        <rFont val="맑은 고딕"/>
        <family val="2"/>
      </rPr>
      <t xml:space="preserve">파이로미터 오염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방사율 설정 오류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계측 오차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</si>
  <si>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온도는 낮게 표시되는데 </t>
    </r>
    <r>
      <rPr>
        <sz val="10"/>
        <rFont val="맑은 고딕"/>
        <family val="0"/>
        <charset val="1"/>
      </rPr>
      <t xml:space="preserve">f-CaO</t>
    </r>
    <r>
      <rPr>
        <sz val="10"/>
        <rFont val="맑은 고딕"/>
        <family val="2"/>
      </rPr>
      <t xml:space="preserve">가 정상이면 계측 오차 가능성이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</si>
  <si>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클링커 자유석회</t>
    </r>
    <r>
      <rPr>
        <sz val="10"/>
        <rFont val="맑은 고딕"/>
        <family val="0"/>
        <charset val="1"/>
      </rPr>
      <t xml:space="preserve">(f-CaO)↑(</t>
    </r>
    <r>
      <rPr>
        <sz val="10"/>
        <rFont val="맑은 고딕"/>
        <family val="2"/>
      </rPr>
      <t xml:space="preserve">반대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</si>
  <si>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파이로미터 렌즈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퍼지 에어 점검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휴대용 온도계 비교 측정</t>
    </r>
  </si>
  <si>
    <r>
      <rPr>
        <sz val="10"/>
        <rFont val="맑은 고딕"/>
        <family val="2"/>
      </rPr>
      <t xml:space="preserve">계측기 청소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재교정</t>
    </r>
  </si>
  <si>
    <t xml:space="preserve">계측기 정기 교정 계획</t>
  </si>
  <si>
    <r>
      <rPr>
        <sz val="10"/>
        <rFont val="맑은 고딕"/>
        <family val="2"/>
      </rPr>
      <t xml:space="preserve">설비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계장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</si>
  <si>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킬른 입구 </t>
    </r>
    <r>
      <rPr>
        <sz val="10"/>
        <rFont val="맑은 고딕"/>
        <family val="0"/>
        <charset val="1"/>
      </rPr>
      <t xml:space="preserve">CO </t>
    </r>
    <r>
      <rPr>
        <sz val="10"/>
        <rFont val="맑은 고딕"/>
        <family val="2"/>
      </rPr>
      <t xml:space="preserve">상승</t>
    </r>
  </si>
  <si>
    <r>
      <rPr>
        <sz val="10"/>
        <rFont val="맑은 고딕"/>
        <family val="2"/>
      </rPr>
      <t xml:space="preserve">연료 과다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공기 부족</t>
    </r>
  </si>
  <si>
    <r>
      <rPr>
        <sz val="10"/>
        <rFont val="맑은 고딕"/>
        <family val="2"/>
      </rPr>
      <t xml:space="preserve">공기비 부족 시 불완전 연소로 </t>
    </r>
    <r>
      <rPr>
        <sz val="10"/>
        <rFont val="맑은 고딕"/>
        <family val="0"/>
        <charset val="1"/>
      </rPr>
      <t xml:space="preserve">CO</t>
    </r>
    <r>
      <rPr>
        <sz val="10"/>
        <rFont val="맑은 고딕"/>
        <family val="2"/>
      </rPr>
      <t xml:space="preserve">가 발생한다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</si>
  <si>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킬른 입구 </t>
    </r>
    <r>
      <rPr>
        <sz val="10"/>
        <rFont val="맑은 고딕"/>
        <family val="0"/>
        <charset val="1"/>
      </rPr>
      <t xml:space="preserve">O₂↓, </t>
    </r>
    <r>
      <rPr>
        <sz val="10"/>
        <rFont val="맑은 고딕"/>
        <family val="2"/>
      </rPr>
      <t xml:space="preserve">석탄 투입량↑</t>
    </r>
  </si>
  <si>
    <r>
      <rPr>
        <sz val="10"/>
        <rFont val="맑은 고딕"/>
        <family val="0"/>
        <charset val="1"/>
      </rPr>
      <t xml:space="preserve">O₂·</t>
    </r>
    <r>
      <rPr>
        <sz val="10"/>
        <rFont val="맑은 고딕"/>
        <family val="2"/>
      </rPr>
      <t xml:space="preserve">석탄 투입량 추이 </t>
    </r>
    <r>
      <rPr>
        <sz val="10"/>
        <rFont val="맑은 고딕"/>
        <family val="0"/>
        <charset val="1"/>
      </rPr>
      <t xml:space="preserve">/ ID </t>
    </r>
    <r>
      <rPr>
        <sz val="10"/>
        <rFont val="맑은 고딕"/>
        <family val="2"/>
      </rPr>
      <t xml:space="preserve">팬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댐퍼 개도</t>
    </r>
  </si>
  <si>
    <r>
      <rPr>
        <sz val="10"/>
        <rFont val="맑은 고딕"/>
        <family val="0"/>
        <charset val="1"/>
      </rPr>
      <t xml:space="preserve">O₂ </t>
    </r>
    <r>
      <rPr>
        <sz val="10"/>
        <rFont val="맑은 고딕"/>
        <family val="2"/>
      </rPr>
      <t xml:space="preserve">목표 상향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석탄 투입 안정화</t>
    </r>
  </si>
  <si>
    <r>
      <rPr>
        <sz val="10"/>
        <rFont val="맑은 고딕"/>
        <family val="2"/>
      </rPr>
      <t xml:space="preserve">연소 제어</t>
    </r>
    <r>
      <rPr>
        <sz val="10"/>
        <rFont val="맑은 고딕"/>
        <family val="0"/>
        <charset val="1"/>
      </rPr>
      <t xml:space="preserve">(O₂·CO </t>
    </r>
    <r>
      <rPr>
        <sz val="10"/>
        <rFont val="맑은 고딕"/>
        <family val="2"/>
      </rPr>
      <t xml:space="preserve">기반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튜닝</t>
    </r>
  </si>
  <si>
    <r>
      <rPr>
        <sz val="10"/>
        <rFont val="맑은 고딕"/>
        <family val="2"/>
      </rPr>
      <t xml:space="preserve">버너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석탄 미분 공급 이상</t>
    </r>
  </si>
  <si>
    <r>
      <rPr>
        <sz val="10"/>
        <rFont val="맑은 고딕"/>
        <family val="2"/>
      </rPr>
      <t xml:space="preserve">석탄 미분도 불량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공급 맥동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버너 팁 마모는 불완전 연소를 일으킨다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</si>
  <si>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석탄 미분도</t>
    </r>
    <r>
      <rPr>
        <sz val="10"/>
        <rFont val="맑은 고딕"/>
        <family val="0"/>
        <charset val="1"/>
      </rPr>
      <t xml:space="preserve">(90μm </t>
    </r>
    <r>
      <rPr>
        <sz val="10"/>
        <rFont val="맑은 고딕"/>
        <family val="2"/>
      </rPr>
      <t xml:space="preserve">잔사</t>
    </r>
    <r>
      <rPr>
        <sz val="10"/>
        <rFont val="맑은 고딕"/>
        <family val="0"/>
        <charset val="1"/>
      </rPr>
      <t xml:space="preserve">)·</t>
    </r>
    <r>
      <rPr>
        <sz val="10"/>
        <rFont val="맑은 고딕"/>
        <family val="2"/>
      </rPr>
      <t xml:space="preserve">수분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석탄 공급기 맥동 확인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버너 팁 점검</t>
    </r>
  </si>
  <si>
    <t xml:space="preserve">석탄밀 운전 조정</t>
  </si>
  <si>
    <r>
      <rPr>
        <sz val="10"/>
        <rFont val="맑은 고딕"/>
        <family val="2"/>
      </rPr>
      <t xml:space="preserve">버너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석탄 공급 설비 예방정비</t>
    </r>
  </si>
  <si>
    <r>
      <rPr>
        <sz val="10"/>
        <rFont val="맑은 고딕"/>
        <family val="2"/>
      </rPr>
      <t xml:space="preserve">석탄 품질 변화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휘발분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발열량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</si>
  <si>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석탄 성상이 바뀌면 연소 특성이 변한다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</si>
  <si>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소성대 온도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파이로미터</t>
    </r>
    <r>
      <rPr>
        <sz val="10"/>
        <rFont val="맑은 고딕"/>
        <family val="0"/>
        <charset val="1"/>
      </rPr>
      <t xml:space="preserve">)↓</t>
    </r>
  </si>
  <si>
    <t xml:space="preserve">석탄 공업분석</t>
  </si>
  <si>
    <t xml:space="preserve">혼탄 비율 조정</t>
  </si>
  <si>
    <t xml:space="preserve">석탄 입고 검사 강화</t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</si>
  <si>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C₃S </t>
    </r>
    <r>
      <rPr>
        <sz val="10"/>
        <rFont val="맑은 고딕"/>
        <family val="2"/>
      </rPr>
      <t xml:space="preserve">저하</t>
    </r>
  </si>
  <si>
    <r>
      <rPr>
        <sz val="10"/>
        <rFont val="맑은 고딕"/>
        <family val="0"/>
        <charset val="1"/>
      </rPr>
      <t xml:space="preserve">LSF </t>
    </r>
    <r>
      <rPr>
        <sz val="10"/>
        <rFont val="맑은 고딕"/>
        <family val="2"/>
      </rPr>
      <t xml:space="preserve">저하</t>
    </r>
  </si>
  <si>
    <r>
      <rPr>
        <sz val="10"/>
        <rFont val="맑은 고딕"/>
        <family val="0"/>
        <charset val="1"/>
      </rPr>
      <t xml:space="preserve">LSF</t>
    </r>
    <r>
      <rPr>
        <sz val="10"/>
        <rFont val="맑은 고딕"/>
        <family val="2"/>
      </rPr>
      <t xml:space="preserve">가 낮으면 </t>
    </r>
    <r>
      <rPr>
        <sz val="10"/>
        <rFont val="맑은 고딕"/>
        <family val="0"/>
        <charset val="1"/>
      </rPr>
      <t xml:space="preserve">C₃S </t>
    </r>
    <r>
      <rPr>
        <sz val="10"/>
        <rFont val="맑은 고딕"/>
        <family val="2"/>
      </rPr>
      <t xml:space="preserve">생성량이 줄어든다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</si>
  <si>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LSF↓, </t>
    </r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LSF↓</t>
    </r>
  </si>
  <si>
    <t xml:space="preserve">조합비 보정</t>
  </si>
  <si>
    <r>
      <rPr>
        <sz val="10"/>
        <rFont val="맑은 고딕"/>
        <family val="0"/>
        <charset val="1"/>
      </rPr>
      <t xml:space="preserve">LSF </t>
    </r>
    <r>
      <rPr>
        <sz val="10"/>
        <rFont val="맑은 고딕"/>
        <family val="2"/>
      </rPr>
      <t xml:space="preserve">관리 정밀도 향상</t>
    </r>
  </si>
  <si>
    <t xml:space="preserve">클링커 리터중량 저하</t>
  </si>
  <si>
    <r>
      <rPr>
        <sz val="10"/>
        <rFont val="맑은 고딕"/>
        <family val="2"/>
      </rPr>
      <t xml:space="preserve">난소성 조성</t>
    </r>
    <r>
      <rPr>
        <sz val="10"/>
        <rFont val="맑은 고딕"/>
        <family val="0"/>
        <charset val="1"/>
      </rPr>
      <t xml:space="preserve">(LSF·SM </t>
    </r>
    <r>
      <rPr>
        <sz val="10"/>
        <rFont val="맑은 고딕"/>
        <family val="2"/>
      </rPr>
      <t xml:space="preserve">과다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</si>
  <si>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LSF·SM</t>
    </r>
    <r>
      <rPr>
        <sz val="10"/>
        <rFont val="맑은 고딕"/>
        <family val="2"/>
      </rPr>
      <t xml:space="preserve">이 높으면 같은 조건에서 소성도가 낮아진다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</si>
  <si>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LSF↑, </t>
    </r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SM↑</t>
    </r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</si>
  <si>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LSF·SM </t>
    </r>
    <r>
      <rPr>
        <sz val="10"/>
        <rFont val="맑은 고딕"/>
        <family val="2"/>
      </rPr>
      <t xml:space="preserve">확인</t>
    </r>
  </si>
  <si>
    <t xml:space="preserve">조합 목표 재설정</t>
  </si>
  <si>
    <r>
      <rPr>
        <sz val="10"/>
        <rFont val="맑은 고딕"/>
        <family val="2"/>
      </rPr>
      <t xml:space="preserve">리터중량 분석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시료 채취 오차</t>
    </r>
  </si>
  <si>
    <r>
      <rPr>
        <sz val="10"/>
        <rFont val="맑은 고딕"/>
        <family val="0"/>
        <charset val="1"/>
      </rPr>
      <t xml:space="preserve">XRD </t>
    </r>
    <r>
      <rPr>
        <sz val="10"/>
        <rFont val="맑은 고딕"/>
        <family val="2"/>
      </rPr>
      <t xml:space="preserve">알라이트</t>
    </r>
    <r>
      <rPr>
        <sz val="10"/>
        <rFont val="맑은 고딕"/>
        <family val="0"/>
        <charset val="1"/>
      </rPr>
      <t xml:space="preserve">(C₃S) </t>
    </r>
    <r>
      <rPr>
        <sz val="10"/>
        <rFont val="맑은 고딕"/>
        <family val="2"/>
      </rPr>
      <t xml:space="preserve">저하</t>
    </r>
  </si>
  <si>
    <r>
      <rPr>
        <sz val="10"/>
        <rFont val="맑은 고딕"/>
        <family val="2"/>
      </rPr>
      <t xml:space="preserve">소성 부족 시 </t>
    </r>
    <r>
      <rPr>
        <sz val="10"/>
        <rFont val="맑은 고딕"/>
        <family val="0"/>
        <charset val="1"/>
      </rPr>
      <t xml:space="preserve">C₂S + CaO → C₃S </t>
    </r>
    <r>
      <rPr>
        <sz val="10"/>
        <rFont val="맑은 고딕"/>
        <family val="2"/>
      </rPr>
      <t xml:space="preserve">반응이 덜 진행되어 알라이트↓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벨라이트↑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자유석회↑가 동시에 나타난다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</si>
  <si>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클링커 자유석회</t>
    </r>
    <r>
      <rPr>
        <sz val="10"/>
        <rFont val="맑은 고딕"/>
        <family val="0"/>
        <charset val="1"/>
      </rPr>
      <t xml:space="preserve">(f-CaO)↑, </t>
    </r>
    <r>
      <rPr>
        <sz val="10"/>
        <rFont val="맑은 고딕"/>
        <family val="2"/>
      </rPr>
      <t xml:space="preserve">소성대 온도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파이로미터</t>
    </r>
    <r>
      <rPr>
        <sz val="10"/>
        <rFont val="맑은 고딕"/>
        <family val="0"/>
        <charset val="1"/>
      </rPr>
      <t xml:space="preserve">)↓, </t>
    </r>
    <r>
      <rPr>
        <sz val="10"/>
        <rFont val="맑은 고딕"/>
        <family val="2"/>
      </rPr>
      <t xml:space="preserve">클링커 리터중량↓</t>
    </r>
  </si>
  <si>
    <r>
      <rPr>
        <sz val="10"/>
        <rFont val="맑은 고딕"/>
        <family val="2"/>
      </rPr>
      <t xml:space="preserve">킬른 운전 추이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소성대 온도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주모터 부하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확인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시간대별 </t>
    </r>
    <r>
      <rPr>
        <sz val="10"/>
        <rFont val="맑은 고딕"/>
        <family val="0"/>
        <charset val="1"/>
      </rPr>
      <t xml:space="preserve">f-CaO·</t>
    </r>
    <r>
      <rPr>
        <sz val="10"/>
        <rFont val="맑은 고딕"/>
        <family val="2"/>
      </rPr>
      <t xml:space="preserve">리터중량 대조</t>
    </r>
  </si>
  <si>
    <r>
      <rPr>
        <sz val="10"/>
        <rFont val="맑은 고딕"/>
        <family val="2"/>
      </rPr>
      <t xml:space="preserve">소성 강화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연료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버너 조정</t>
    </r>
    <r>
      <rPr>
        <sz val="10"/>
        <rFont val="맑은 고딕"/>
        <family val="0"/>
        <charset val="1"/>
      </rPr>
      <t xml:space="preserve">) / f-CaO </t>
    </r>
    <r>
      <rPr>
        <sz val="10"/>
        <rFont val="맑은 고딕"/>
        <family val="2"/>
      </rPr>
      <t xml:space="preserve">기준 초과 클링커 분리 저장</t>
    </r>
  </si>
  <si>
    <r>
      <rPr>
        <sz val="10"/>
        <rFont val="맑은 고딕"/>
        <family val="0"/>
        <charset val="1"/>
      </rPr>
      <t xml:space="preserve">f-CaO </t>
    </r>
    <r>
      <rPr>
        <sz val="10"/>
        <rFont val="맑은 고딕"/>
        <family val="2"/>
      </rPr>
      <t xml:space="preserve">기반 소성 피드백 운전 기준서</t>
    </r>
  </si>
  <si>
    <r>
      <rPr>
        <sz val="10"/>
        <rFont val="맑은 고딕"/>
        <family val="0"/>
        <charset val="1"/>
      </rPr>
      <t xml:space="preserve">LSF </t>
    </r>
    <r>
      <rPr>
        <sz val="10"/>
        <rFont val="맑은 고딕"/>
        <family val="2"/>
      </rPr>
      <t xml:space="preserve">저하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석회 부족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</si>
  <si>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LSF</t>
    </r>
    <r>
      <rPr>
        <sz val="10"/>
        <rFont val="맑은 고딕"/>
        <family val="2"/>
      </rPr>
      <t xml:space="preserve">가 낮으면 </t>
    </r>
    <r>
      <rPr>
        <sz val="10"/>
        <rFont val="맑은 고딕"/>
        <family val="0"/>
        <charset val="1"/>
      </rPr>
      <t xml:space="preserve">C₃S </t>
    </r>
    <r>
      <rPr>
        <sz val="10"/>
        <rFont val="맑은 고딕"/>
        <family val="2"/>
      </rPr>
      <t xml:space="preserve">생성량이 줄고 </t>
    </r>
    <r>
      <rPr>
        <sz val="10"/>
        <rFont val="맑은 고딕"/>
        <family val="0"/>
        <charset val="1"/>
      </rPr>
      <t xml:space="preserve">C₂S</t>
    </r>
    <r>
      <rPr>
        <sz val="10"/>
        <rFont val="맑은 고딕"/>
        <family val="2"/>
      </rPr>
      <t xml:space="preserve">가 늘어난다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</si>
  <si>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생료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LSF </t>
    </r>
    <r>
      <rPr>
        <sz val="10"/>
        <rFont val="맑은 고딕"/>
        <family val="2"/>
      </rPr>
      <t xml:space="preserve">추이 확인</t>
    </r>
  </si>
  <si>
    <r>
      <rPr>
        <sz val="10"/>
        <rFont val="맑은 고딕"/>
        <family val="2"/>
      </rPr>
      <t xml:space="preserve">클링커 서랭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냉각기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</si>
  <si>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서랭 시 알라이트 일부 분해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페리클레이스</t>
    </r>
    <r>
      <rPr>
        <sz val="10"/>
        <rFont val="맑은 고딕"/>
        <family val="0"/>
        <charset val="1"/>
      </rPr>
      <t xml:space="preserve">·C₃A </t>
    </r>
    <r>
      <rPr>
        <sz val="10"/>
        <rFont val="맑은 고딕"/>
        <family val="2"/>
      </rPr>
      <t xml:space="preserve">결정 조대화가 나타날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</si>
  <si>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냉각기 그레이트 속도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풍량 확인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클링커 현미경 관찰</t>
    </r>
  </si>
  <si>
    <t xml:space="preserve">냉각기 운전 조건 조정</t>
  </si>
  <si>
    <t xml:space="preserve">냉각기 정비 계획 반영</t>
  </si>
  <si>
    <r>
      <rPr>
        <sz val="10"/>
        <rFont val="맑은 고딕"/>
        <family val="0"/>
        <charset val="1"/>
      </rPr>
      <t xml:space="preserve">XRD </t>
    </r>
    <r>
      <rPr>
        <sz val="10"/>
        <rFont val="맑은 고딕"/>
        <family val="2"/>
      </rPr>
      <t xml:space="preserve">정량 오차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시료 조제</t>
    </r>
    <r>
      <rPr>
        <sz val="10"/>
        <rFont val="맑은 고딕"/>
        <family val="0"/>
        <charset val="1"/>
      </rPr>
      <t xml:space="preserve">·Rietveld </t>
    </r>
    <r>
      <rPr>
        <sz val="10"/>
        <rFont val="맑은 고딕"/>
        <family val="2"/>
      </rPr>
      <t xml:space="preserve">해석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</si>
  <si>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XRD-Rietveld </t>
    </r>
    <r>
      <rPr>
        <sz val="10"/>
        <rFont val="맑은 고딕"/>
        <family val="2"/>
      </rPr>
      <t xml:space="preserve">정량은 분쇄 입도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선택 배향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구조모델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내부표준 설정에 따라 </t>
    </r>
    <r>
      <rPr>
        <sz val="10"/>
        <rFont val="맑은 고딕"/>
        <family val="0"/>
        <charset val="1"/>
      </rPr>
      <t xml:space="preserve">±1~2%p </t>
    </r>
    <r>
      <rPr>
        <sz val="10"/>
        <rFont val="맑은 고딕"/>
        <family val="2"/>
      </rPr>
      <t xml:space="preserve">오차가 생길 수 있다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경험칙</t>
    </r>
    <r>
      <rPr>
        <sz val="10"/>
        <rFont val="맑은 고딕"/>
        <family val="0"/>
        <charset val="1"/>
      </rPr>
      <t xml:space="preserve">). XRF </t>
    </r>
    <r>
      <rPr>
        <sz val="10"/>
        <rFont val="맑은 고딕"/>
        <family val="2"/>
      </rPr>
      <t xml:space="preserve">기반 </t>
    </r>
    <r>
      <rPr>
        <sz val="10"/>
        <rFont val="맑은 고딕"/>
        <family val="0"/>
        <charset val="1"/>
      </rPr>
      <t xml:space="preserve">Bogue </t>
    </r>
    <r>
      <rPr>
        <sz val="10"/>
        <rFont val="맑은 고딕"/>
        <family val="2"/>
      </rPr>
      <t xml:space="preserve">계산값과 같은 방향으로 움직이지 않으면 분석 오차를 먼저 의심한다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</si>
  <si>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동일 시료 재분쇄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재측정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표준 클링커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사내 기준시료</t>
    </r>
    <r>
      <rPr>
        <sz val="10"/>
        <rFont val="맑은 고딕"/>
        <family val="0"/>
        <charset val="1"/>
      </rPr>
      <t xml:space="preserve">)</t>
    </r>
    <r>
      <rPr>
        <sz val="10"/>
        <rFont val="맑은 고딕"/>
        <family val="2"/>
      </rPr>
      <t xml:space="preserve">로 정량값 점검 </t>
    </r>
    <r>
      <rPr>
        <sz val="10"/>
        <rFont val="맑은 고딕"/>
        <family val="0"/>
        <charset val="1"/>
      </rPr>
      <t xml:space="preserve">/ Rietveld </t>
    </r>
    <r>
      <rPr>
        <sz val="10"/>
        <rFont val="맑은 고딕"/>
        <family val="2"/>
      </rPr>
      <t xml:space="preserve">잔차</t>
    </r>
    <r>
      <rPr>
        <sz val="10"/>
        <rFont val="맑은 고딕"/>
        <family val="0"/>
        <charset val="1"/>
      </rPr>
      <t xml:space="preserve">(Rwp)·</t>
    </r>
    <r>
      <rPr>
        <sz val="10"/>
        <rFont val="맑은 고딕"/>
        <family val="2"/>
      </rPr>
      <t xml:space="preserve">구조모델 변경 이력 확인</t>
    </r>
  </si>
  <si>
    <t xml:space="preserve">재측정 결과로 판정 확정</t>
  </si>
  <si>
    <r>
      <rPr>
        <sz val="10"/>
        <rFont val="맑은 고딕"/>
        <family val="0"/>
        <charset val="1"/>
      </rPr>
      <t xml:space="preserve">XRD </t>
    </r>
    <r>
      <rPr>
        <sz val="10"/>
        <rFont val="맑은 고딕"/>
        <family val="2"/>
      </rPr>
      <t xml:space="preserve">정량 관리도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기준시료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운영 </t>
    </r>
    <r>
      <rPr>
        <sz val="10"/>
        <rFont val="맑은 고딕"/>
        <family val="0"/>
        <charset val="1"/>
      </rPr>
      <t xml:space="preserve">/ XRF Bogue</t>
    </r>
    <r>
      <rPr>
        <sz val="10"/>
        <rFont val="맑은 고딕"/>
        <family val="2"/>
      </rPr>
      <t xml:space="preserve">와의 상관 정기 점검</t>
    </r>
  </si>
  <si>
    <r>
      <rPr>
        <sz val="10"/>
        <rFont val="맑은 고딕"/>
        <family val="0"/>
        <charset val="1"/>
      </rPr>
      <t xml:space="preserve">XRD </t>
    </r>
    <r>
      <rPr>
        <sz val="10"/>
        <rFont val="맑은 고딕"/>
        <family val="2"/>
      </rPr>
      <t xml:space="preserve">벨라이트</t>
    </r>
    <r>
      <rPr>
        <sz val="10"/>
        <rFont val="맑은 고딕"/>
        <family val="0"/>
        <charset val="1"/>
      </rPr>
      <t xml:space="preserve">(C₂S) </t>
    </r>
    <r>
      <rPr>
        <sz val="10"/>
        <rFont val="맑은 고딕"/>
        <family val="2"/>
      </rPr>
      <t xml:space="preserve">증가</t>
    </r>
  </si>
  <si>
    <r>
      <rPr>
        <sz val="10"/>
        <rFont val="맑은 고딕"/>
        <family val="0"/>
        <charset val="1"/>
      </rPr>
      <t xml:space="preserve">XRD </t>
    </r>
    <r>
      <rPr>
        <sz val="10"/>
        <rFont val="맑은 고딕"/>
        <family val="2"/>
      </rPr>
      <t xml:space="preserve">자유석회 상승</t>
    </r>
  </si>
  <si>
    <r>
      <rPr>
        <sz val="10"/>
        <rFont val="맑은 고딕"/>
        <family val="0"/>
        <charset val="1"/>
      </rPr>
      <t xml:space="preserve">LSF</t>
    </r>
    <r>
      <rPr>
        <sz val="10"/>
        <rFont val="맑은 고딕"/>
        <family val="2"/>
      </rPr>
      <t xml:space="preserve">가 높으면 결합되지 못한 </t>
    </r>
    <r>
      <rPr>
        <sz val="10"/>
        <rFont val="맑은 고딕"/>
        <family val="0"/>
        <charset val="1"/>
      </rPr>
      <t xml:space="preserve">CaO</t>
    </r>
    <r>
      <rPr>
        <sz val="10"/>
        <rFont val="맑은 고딕"/>
        <family val="2"/>
      </rPr>
      <t xml:space="preserve">가 자유석회로 남는다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</si>
  <si>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LSF↑, </t>
    </r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LSF↑</t>
    </r>
  </si>
  <si>
    <r>
      <rPr>
        <sz val="10"/>
        <rFont val="맑은 고딕"/>
        <family val="2"/>
      </rPr>
      <t xml:space="preserve">생료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LSF </t>
    </r>
    <r>
      <rPr>
        <sz val="10"/>
        <rFont val="맑은 고딕"/>
        <family val="2"/>
      </rPr>
      <t xml:space="preserve">추이 확인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석회석 품위 변화 확인</t>
    </r>
  </si>
  <si>
    <r>
      <rPr>
        <sz val="10"/>
        <rFont val="맑은 고딕"/>
        <family val="2"/>
      </rPr>
      <t xml:space="preserve">조합비 보정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석회석 비율↓</t>
    </r>
    <r>
      <rPr>
        <sz val="10"/>
        <rFont val="맑은 고딕"/>
        <family val="0"/>
        <charset val="1"/>
      </rPr>
      <t xml:space="preserve">)</t>
    </r>
  </si>
  <si>
    <t xml:space="preserve">석회석 품위 예측 기반 조합 관리</t>
  </si>
  <si>
    <r>
      <rPr>
        <sz val="10"/>
        <rFont val="맑은 고딕"/>
        <family val="2"/>
      </rPr>
      <t xml:space="preserve">생료 분말도 조대</t>
    </r>
    <r>
      <rPr>
        <sz val="10"/>
        <rFont val="맑은 고딕"/>
        <family val="0"/>
        <charset val="1"/>
      </rPr>
      <t xml:space="preserve">(90μm </t>
    </r>
    <r>
      <rPr>
        <sz val="10"/>
        <rFont val="맑은 고딕"/>
        <family val="2"/>
      </rPr>
      <t xml:space="preserve">잔사 증가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</si>
  <si>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조대 석영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방해석은 반응성이 낮아 자유석회가 남는다</t>
    </r>
    <r>
      <rPr>
        <sz val="10"/>
        <rFont val="맑은 고딕"/>
        <family val="0"/>
        <charset val="1"/>
      </rPr>
      <t xml:space="preserve">.</t>
    </r>
  </si>
  <si>
    <t xml:space="preserve">생료 잔사 재측정</t>
  </si>
  <si>
    <t xml:space="preserve">원료밀 세퍼레이터 조정</t>
  </si>
  <si>
    <t xml:space="preserve">원료밀 분말도 관리기준 재설정</t>
  </si>
  <si>
    <r>
      <rPr>
        <sz val="10"/>
        <rFont val="맑은 고딕"/>
        <family val="0"/>
        <charset val="1"/>
      </rPr>
      <t xml:space="preserve">XRD </t>
    </r>
    <r>
      <rPr>
        <sz val="10"/>
        <rFont val="맑은 고딕"/>
        <family val="2"/>
      </rPr>
      <t xml:space="preserve">페리클레이스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결정질 </t>
    </r>
    <r>
      <rPr>
        <sz val="10"/>
        <rFont val="맑은 고딕"/>
        <family val="0"/>
        <charset val="1"/>
      </rPr>
      <t xml:space="preserve">MgO) </t>
    </r>
    <r>
      <rPr>
        <sz val="10"/>
        <rFont val="맑은 고딕"/>
        <family val="2"/>
      </rPr>
      <t xml:space="preserve">증가</t>
    </r>
  </si>
  <si>
    <r>
      <rPr>
        <sz val="10"/>
        <rFont val="맑은 고딕"/>
        <family val="2"/>
      </rPr>
      <t xml:space="preserve">석회석 백운석 혼입</t>
    </r>
    <r>
      <rPr>
        <sz val="10"/>
        <rFont val="맑은 고딕"/>
        <family val="0"/>
        <charset val="1"/>
      </rPr>
      <t xml:space="preserve">(MgO↑)</t>
    </r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</si>
  <si>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MgO</t>
    </r>
    <r>
      <rPr>
        <sz val="10"/>
        <rFont val="맑은 고딕"/>
        <family val="2"/>
      </rPr>
      <t xml:space="preserve">가 고용 한계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약 </t>
    </r>
    <r>
      <rPr>
        <sz val="10"/>
        <rFont val="맑은 고딕"/>
        <family val="0"/>
        <charset val="1"/>
      </rPr>
      <t xml:space="preserve">1.5~2%, </t>
    </r>
    <r>
      <rPr>
        <sz val="10"/>
        <rFont val="맑은 고딕"/>
        <family val="2"/>
      </rPr>
      <t xml:space="preserve">경험칙</t>
    </r>
    <r>
      <rPr>
        <sz val="10"/>
        <rFont val="맑은 고딕"/>
        <family val="0"/>
        <charset val="1"/>
      </rPr>
      <t xml:space="preserve">)</t>
    </r>
    <r>
      <rPr>
        <sz val="10"/>
        <rFont val="맑은 고딕"/>
        <family val="2"/>
      </rPr>
      <t xml:space="preserve">를 넘으면 페리클레이스로 정출된다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</si>
  <si>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MgO↑, </t>
    </r>
    <r>
      <rPr>
        <sz val="10"/>
        <rFont val="맑은 고딕"/>
        <family val="2"/>
      </rPr>
      <t xml:space="preserve">생료 </t>
    </r>
    <r>
      <rPr>
        <sz val="10"/>
        <rFont val="맑은 고딕"/>
        <family val="0"/>
        <charset val="1"/>
      </rPr>
      <t xml:space="preserve">MgO↑</t>
    </r>
  </si>
  <si>
    <r>
      <rPr>
        <sz val="10"/>
        <rFont val="맑은 고딕"/>
        <family val="2"/>
      </rPr>
      <t xml:space="preserve">석회석 입고 </t>
    </r>
    <r>
      <rPr>
        <sz val="10"/>
        <rFont val="맑은 고딕"/>
        <family val="0"/>
        <charset val="1"/>
      </rPr>
      <t xml:space="preserve">MgO </t>
    </r>
    <r>
      <rPr>
        <sz val="10"/>
        <rFont val="맑은 고딕"/>
        <family val="2"/>
      </rPr>
      <t xml:space="preserve">분석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채광 구역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벤치 확인</t>
    </r>
  </si>
  <si>
    <r>
      <rPr>
        <sz val="10"/>
        <rFont val="맑은 고딕"/>
        <family val="2"/>
      </rPr>
      <t xml:space="preserve">고</t>
    </r>
    <r>
      <rPr>
        <sz val="10"/>
        <rFont val="맑은 고딕"/>
        <family val="0"/>
        <charset val="1"/>
      </rPr>
      <t xml:space="preserve">MgO </t>
    </r>
    <r>
      <rPr>
        <sz val="10"/>
        <rFont val="맑은 고딕"/>
        <family val="2"/>
      </rPr>
      <t xml:space="preserve">원료 블렌딩</t>
    </r>
  </si>
  <si>
    <r>
      <rPr>
        <sz val="10"/>
        <rFont val="맑은 고딕"/>
        <family val="0"/>
        <charset val="1"/>
      </rPr>
      <t xml:space="preserve">XRD C₃A </t>
    </r>
    <r>
      <rPr>
        <sz val="10"/>
        <rFont val="맑은 고딕"/>
        <family val="2"/>
      </rPr>
      <t xml:space="preserve">증가</t>
    </r>
  </si>
  <si>
    <r>
      <rPr>
        <sz val="10"/>
        <rFont val="맑은 고딕"/>
        <family val="0"/>
        <charset val="1"/>
      </rPr>
      <t xml:space="preserve">IM(</t>
    </r>
    <r>
      <rPr>
        <sz val="10"/>
        <rFont val="맑은 고딕"/>
        <family val="2"/>
      </rPr>
      <t xml:space="preserve">철률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변화</t>
    </r>
  </si>
  <si>
    <r>
      <rPr>
        <sz val="10"/>
        <rFont val="맑은 고딕"/>
        <family val="0"/>
        <charset val="1"/>
      </rPr>
      <t xml:space="preserve">IM</t>
    </r>
    <r>
      <rPr>
        <sz val="10"/>
        <rFont val="맑은 고딕"/>
        <family val="2"/>
      </rPr>
      <t xml:space="preserve">이 높으면 </t>
    </r>
    <r>
      <rPr>
        <sz val="10"/>
        <rFont val="맑은 고딕"/>
        <family val="0"/>
        <charset val="1"/>
      </rPr>
      <t xml:space="preserve">C₃A</t>
    </r>
    <r>
      <rPr>
        <sz val="10"/>
        <rFont val="맑은 고딕"/>
        <family val="2"/>
      </rPr>
      <t xml:space="preserve">가 늘고 </t>
    </r>
    <r>
      <rPr>
        <sz val="10"/>
        <rFont val="맑은 고딕"/>
        <family val="0"/>
        <charset val="1"/>
      </rPr>
      <t xml:space="preserve">C₄AF</t>
    </r>
    <r>
      <rPr>
        <sz val="10"/>
        <rFont val="맑은 고딕"/>
        <family val="2"/>
      </rPr>
      <t xml:space="preserve">가 줄어든다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</si>
  <si>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IM↑</t>
    </r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</si>
  <si>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IM·</t>
    </r>
    <r>
      <rPr>
        <sz val="10"/>
        <rFont val="맑은 고딕"/>
        <family val="2"/>
      </rPr>
      <t xml:space="preserve">철질원 투입량 확인</t>
    </r>
  </si>
  <si>
    <t xml:space="preserve">철질원 비율 조정</t>
  </si>
  <si>
    <r>
      <rPr>
        <sz val="10"/>
        <rFont val="맑은 고딕"/>
        <family val="0"/>
        <charset val="1"/>
      </rPr>
      <t xml:space="preserve">IM </t>
    </r>
    <r>
      <rPr>
        <sz val="10"/>
        <rFont val="맑은 고딕"/>
        <family val="2"/>
      </rPr>
      <t xml:space="preserve">목표 범위 재설정</t>
    </r>
  </si>
  <si>
    <r>
      <rPr>
        <sz val="10"/>
        <rFont val="맑은 고딕"/>
        <family val="2"/>
      </rPr>
      <t xml:space="preserve">시멘트 수용성 </t>
    </r>
    <r>
      <rPr>
        <sz val="10"/>
        <rFont val="맑은 고딕"/>
        <family val="0"/>
        <charset val="1"/>
      </rPr>
      <t xml:space="preserve">6</t>
    </r>
    <r>
      <rPr>
        <sz val="10"/>
        <rFont val="맑은 고딕"/>
        <family val="2"/>
      </rPr>
      <t xml:space="preserve">가크롬 상승</t>
    </r>
  </si>
  <si>
    <r>
      <rPr>
        <sz val="10"/>
        <rFont val="맑은 고딕"/>
        <family val="2"/>
      </rPr>
      <t xml:space="preserve">원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부원료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연료 크롬 투입 증가</t>
    </r>
  </si>
  <si>
    <r>
      <rPr>
        <sz val="10"/>
        <rFont val="맑은 고딕"/>
        <family val="2"/>
      </rPr>
      <t xml:space="preserve">크롬은 대부분 비휘발성이라 투입된 총 크롬이 거의 그대로 클링커에 남는다</t>
    </r>
    <r>
      <rPr>
        <sz val="10"/>
        <rFont val="맑은 고딕"/>
        <family val="0"/>
        <charset val="1"/>
      </rPr>
      <t xml:space="preserve">. </t>
    </r>
    <r>
      <rPr>
        <sz val="10"/>
        <rFont val="맑은 고딕"/>
        <family val="2"/>
      </rPr>
      <t xml:space="preserve">철질원 대체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제강슬래그</t>
    </r>
    <r>
      <rPr>
        <sz val="10"/>
        <rFont val="맑은 고딕"/>
        <family val="0"/>
        <charset val="1"/>
      </rPr>
      <t xml:space="preserve">)·</t>
    </r>
    <r>
      <rPr>
        <sz val="10"/>
        <rFont val="맑은 고딕"/>
        <family val="2"/>
      </rPr>
      <t xml:space="preserve">석탄재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슬러지 등 고</t>
    </r>
    <r>
      <rPr>
        <sz val="10"/>
        <rFont val="맑은 고딕"/>
        <family val="0"/>
        <charset val="1"/>
      </rPr>
      <t xml:space="preserve">Cr </t>
    </r>
    <r>
      <rPr>
        <sz val="10"/>
        <rFont val="맑은 고딕"/>
        <family val="2"/>
      </rPr>
      <t xml:space="preserve">원료 </t>
    </r>
    <r>
      <rPr>
        <sz val="10"/>
        <rFont val="맑은 고딕"/>
        <family val="0"/>
        <charset val="1"/>
      </rPr>
      <t xml:space="preserve">Lot </t>
    </r>
    <r>
      <rPr>
        <sz val="10"/>
        <rFont val="맑은 고딕"/>
        <family val="2"/>
      </rPr>
      <t xml:space="preserve">변경이 대표 원인</t>
    </r>
    <r>
      <rPr>
        <sz val="10"/>
        <rFont val="맑은 고딕"/>
        <family val="0"/>
        <charset val="1"/>
      </rPr>
      <t xml:space="preserve">.</t>
    </r>
  </si>
  <si>
    <t xml:space="preserve">클링커 총 크롬↑</t>
  </si>
  <si>
    <r>
      <rPr>
        <sz val="10"/>
        <rFont val="맑은 고딕"/>
        <family val="2"/>
      </rPr>
      <t xml:space="preserve">원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부원료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연료 </t>
    </r>
    <r>
      <rPr>
        <sz val="10"/>
        <rFont val="맑은 고딕"/>
        <family val="0"/>
        <charset val="1"/>
      </rPr>
      <t xml:space="preserve">Lot</t>
    </r>
    <r>
      <rPr>
        <sz val="10"/>
        <rFont val="맑은 고딕"/>
        <family val="2"/>
      </rPr>
      <t xml:space="preserve">별 총 </t>
    </r>
    <r>
      <rPr>
        <sz val="10"/>
        <rFont val="맑은 고딕"/>
        <family val="0"/>
        <charset val="1"/>
      </rPr>
      <t xml:space="preserve">Cr </t>
    </r>
    <r>
      <rPr>
        <sz val="10"/>
        <rFont val="맑은 고딕"/>
        <family val="2"/>
      </rPr>
      <t xml:space="preserve">분석</t>
    </r>
    <r>
      <rPr>
        <sz val="10"/>
        <rFont val="맑은 고딕"/>
        <family val="0"/>
        <charset val="1"/>
      </rPr>
      <t xml:space="preserve">(XRF/ICP) / </t>
    </r>
    <r>
      <rPr>
        <sz val="10"/>
        <rFont val="맑은 고딕"/>
        <family val="2"/>
      </rPr>
      <t xml:space="preserve">입고 이력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철질원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대체원료 </t>
    </r>
    <r>
      <rPr>
        <sz val="10"/>
        <rFont val="맑은 고딕"/>
        <family val="0"/>
        <charset val="1"/>
      </rPr>
      <t xml:space="preserve">Lot </t>
    </r>
    <r>
      <rPr>
        <sz val="10"/>
        <rFont val="맑은 고딕"/>
        <family val="2"/>
      </rPr>
      <t xml:space="preserve">변경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확인 </t>
    </r>
    <r>
      <rPr>
        <sz val="10"/>
        <rFont val="맑은 고딕"/>
        <family val="0"/>
        <charset val="1"/>
      </rPr>
      <t xml:space="preserve">/ ☢️ 6</t>
    </r>
    <r>
      <rPr>
        <sz val="10"/>
        <rFont val="맑은 고딕"/>
        <family val="2"/>
      </rPr>
      <t xml:space="preserve">가크롬 화면에서 물질수지로 기여도 확인</t>
    </r>
  </si>
  <si>
    <r>
      <rPr>
        <sz val="10"/>
        <rFont val="맑은 고딕"/>
        <family val="2"/>
      </rPr>
      <t xml:space="preserve">고</t>
    </r>
    <r>
      <rPr>
        <sz val="10"/>
        <rFont val="맑은 고딕"/>
        <family val="0"/>
        <charset val="1"/>
      </rPr>
      <t xml:space="preserve">Cr </t>
    </r>
    <r>
      <rPr>
        <sz val="10"/>
        <rFont val="맑은 고딕"/>
        <family val="2"/>
      </rPr>
      <t xml:space="preserve">원료 사용 비율 축소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블렌딩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환원제 투입량 일시 증량</t>
    </r>
  </si>
  <si>
    <r>
      <rPr>
        <sz val="10"/>
        <rFont val="맑은 고딕"/>
        <family val="2"/>
      </rPr>
      <t xml:space="preserve">원료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연료 입고 </t>
    </r>
    <r>
      <rPr>
        <sz val="10"/>
        <rFont val="맑은 고딕"/>
        <family val="0"/>
        <charset val="1"/>
      </rPr>
      <t xml:space="preserve">Cr </t>
    </r>
    <r>
      <rPr>
        <sz val="10"/>
        <rFont val="맑은 고딕"/>
        <family val="2"/>
      </rPr>
      <t xml:space="preserve">관리기준</t>
    </r>
    <r>
      <rPr>
        <sz val="10"/>
        <rFont val="맑은 고딕"/>
        <family val="0"/>
        <charset val="1"/>
      </rPr>
      <t xml:space="preserve">(mg/kg) </t>
    </r>
    <r>
      <rPr>
        <sz val="10"/>
        <rFont val="맑은 고딕"/>
        <family val="2"/>
      </rPr>
      <t xml:space="preserve">설정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성적서 확인 </t>
    </r>
    <r>
      <rPr>
        <sz val="10"/>
        <rFont val="맑은 고딕"/>
        <family val="0"/>
        <charset val="1"/>
      </rPr>
      <t xml:space="preserve">/ Cr </t>
    </r>
    <r>
      <rPr>
        <sz val="10"/>
        <rFont val="맑은 고딕"/>
        <family val="2"/>
      </rPr>
      <t xml:space="preserve">물질수지 기반 사전 배합 검토</t>
    </r>
  </si>
  <si>
    <r>
      <rPr>
        <sz val="10"/>
        <rFont val="맑은 고딕"/>
        <family val="2"/>
      </rPr>
      <t xml:space="preserve">환원제 투입 부족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효과 저하</t>
    </r>
  </si>
  <si>
    <r>
      <rPr>
        <sz val="10"/>
        <rFont val="맑은 고딕"/>
        <family val="2"/>
      </rPr>
      <t xml:space="preserve">황산제</t>
    </r>
    <r>
      <rPr>
        <sz val="10"/>
        <rFont val="맑은 고딕"/>
        <family val="0"/>
        <charset val="1"/>
      </rPr>
      <t xml:space="preserve">1</t>
    </r>
    <r>
      <rPr>
        <sz val="10"/>
        <rFont val="맑은 고딕"/>
        <family val="2"/>
      </rPr>
      <t xml:space="preserve">철</t>
    </r>
    <r>
      <rPr>
        <sz val="10"/>
        <rFont val="맑은 고딕"/>
        <family val="0"/>
        <charset val="1"/>
      </rPr>
      <t xml:space="preserve">(FeSO₄)</t>
    </r>
    <r>
      <rPr>
        <sz val="10"/>
        <rFont val="맑은 고딕"/>
        <family val="2"/>
      </rPr>
      <t xml:space="preserve">은 고온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밀 출구</t>
    </r>
    <r>
      <rPr>
        <sz val="10"/>
        <rFont val="맑은 고딕"/>
        <family val="0"/>
        <charset val="1"/>
      </rPr>
      <t xml:space="preserve">)·</t>
    </r>
    <r>
      <rPr>
        <sz val="10"/>
        <rFont val="맑은 고딕"/>
        <family val="2"/>
      </rPr>
      <t xml:space="preserve">습기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장기 저장에서 산화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열화되어 환원 능력이 떨어진다</t>
    </r>
    <r>
      <rPr>
        <sz val="10"/>
        <rFont val="맑은 고딕"/>
        <family val="0"/>
        <charset val="1"/>
      </rPr>
      <t xml:space="preserve">. </t>
    </r>
    <r>
      <rPr>
        <sz val="10"/>
        <rFont val="맑은 고딕"/>
        <family val="2"/>
      </rPr>
      <t xml:space="preserve">정량공급기 막힘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설정 오류도 원인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</si>
  <si>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환원제 정량공급기 투입량 실측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캘리브레이션</t>
    </r>
    <r>
      <rPr>
        <sz val="10"/>
        <rFont val="맑은 고딕"/>
        <family val="0"/>
        <charset val="1"/>
      </rPr>
      <t xml:space="preserve">) / </t>
    </r>
    <r>
      <rPr>
        <sz val="10"/>
        <rFont val="맑은 고딕"/>
        <family val="2"/>
      </rPr>
      <t xml:space="preserve">환원제 입고 </t>
    </r>
    <r>
      <rPr>
        <sz val="10"/>
        <rFont val="맑은 고딕"/>
        <family val="0"/>
        <charset val="1"/>
      </rPr>
      <t xml:space="preserve">Lot·</t>
    </r>
    <r>
      <rPr>
        <sz val="10"/>
        <rFont val="맑은 고딕"/>
        <family val="2"/>
      </rPr>
      <t xml:space="preserve">보관기간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수분 상태 확인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밀 출구 온도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투입 위치 확인</t>
    </r>
  </si>
  <si>
    <r>
      <rPr>
        <sz val="10"/>
        <rFont val="맑은 고딕"/>
        <family val="2"/>
      </rPr>
      <t xml:space="preserve">환원제 투입량 증량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공급기 정비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투입 위치를 밀 출구 이후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저온부</t>
    </r>
    <r>
      <rPr>
        <sz val="10"/>
        <rFont val="맑은 고딕"/>
        <family val="0"/>
        <charset val="1"/>
      </rPr>
      <t xml:space="preserve">)</t>
    </r>
    <r>
      <rPr>
        <sz val="10"/>
        <rFont val="맑은 고딕"/>
        <family val="2"/>
      </rPr>
      <t xml:space="preserve">로 조정 검토</t>
    </r>
  </si>
  <si>
    <r>
      <rPr>
        <sz val="10"/>
        <rFont val="맑은 고딕"/>
        <family val="2"/>
      </rPr>
      <t xml:space="preserve">환원제 선입선출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유효기간 관리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투입량 자동 연동</t>
    </r>
    <r>
      <rPr>
        <sz val="10"/>
        <rFont val="맑은 고딕"/>
        <family val="0"/>
        <charset val="1"/>
      </rPr>
      <t xml:space="preserve">(Cr⁶⁺ </t>
    </r>
    <r>
      <rPr>
        <sz val="10"/>
        <rFont val="맑은 고딕"/>
        <family val="2"/>
      </rPr>
      <t xml:space="preserve">예측값 기반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제어</t>
    </r>
  </si>
  <si>
    <r>
      <rPr>
        <sz val="10"/>
        <rFont val="맑은 고딕"/>
        <family val="2"/>
      </rPr>
      <t xml:space="preserve">킬른 산화 분위기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알칼리 증가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전환율↑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</si>
  <si>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Cr³⁺ → Cr⁶⁺ </t>
    </r>
    <r>
      <rPr>
        <sz val="10"/>
        <rFont val="맑은 고딕"/>
        <family val="2"/>
      </rPr>
      <t xml:space="preserve">전환은 산소 과잉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알칼리 과잉 조건에서 촉진된다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알칼리 크롬산염 생성</t>
    </r>
    <r>
      <rPr>
        <sz val="10"/>
        <rFont val="맑은 고딕"/>
        <family val="0"/>
        <charset val="1"/>
      </rPr>
      <t xml:space="preserve">).</t>
    </r>
  </si>
  <si>
    <r>
      <rPr>
        <sz val="10"/>
        <rFont val="맑은 고딕"/>
        <family val="2"/>
      </rPr>
      <t xml:space="preserve">킬른 입구 </t>
    </r>
    <r>
      <rPr>
        <sz val="10"/>
        <rFont val="맑은 고딕"/>
        <family val="0"/>
        <charset val="1"/>
      </rPr>
      <t xml:space="preserve">O₂↑, </t>
    </r>
    <r>
      <rPr>
        <sz val="10"/>
        <rFont val="맑은 고딕"/>
        <family val="2"/>
      </rPr>
      <t xml:space="preserve">클링커 등가알칼리↑</t>
    </r>
  </si>
  <si>
    <r>
      <rPr>
        <sz val="10"/>
        <rFont val="맑은 고딕"/>
        <family val="2"/>
      </rPr>
      <t xml:space="preserve">킬른 입구 </t>
    </r>
    <r>
      <rPr>
        <sz val="10"/>
        <rFont val="맑은 고딕"/>
        <family val="0"/>
        <charset val="1"/>
      </rPr>
      <t xml:space="preserve">O₂·</t>
    </r>
    <r>
      <rPr>
        <sz val="10"/>
        <rFont val="맑은 고딕"/>
        <family val="2"/>
      </rPr>
      <t xml:space="preserve">과잉공기율 추이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Na₂Oeq·SO₃/</t>
    </r>
    <r>
      <rPr>
        <sz val="10"/>
        <rFont val="맑은 고딕"/>
        <family val="2"/>
      </rPr>
      <t xml:space="preserve">알칼리 비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황산화도</t>
    </r>
    <r>
      <rPr>
        <sz val="10"/>
        <rFont val="맑은 고딕"/>
        <family val="0"/>
        <charset val="1"/>
      </rPr>
      <t xml:space="preserve">) / </t>
    </r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Cr⁶⁺/</t>
    </r>
    <r>
      <rPr>
        <sz val="10"/>
        <rFont val="맑은 고딕"/>
        <family val="2"/>
      </rPr>
      <t xml:space="preserve">총</t>
    </r>
    <r>
      <rPr>
        <sz val="10"/>
        <rFont val="맑은 고딕"/>
        <family val="0"/>
        <charset val="1"/>
      </rPr>
      <t xml:space="preserve">Cr </t>
    </r>
    <r>
      <rPr>
        <sz val="10"/>
        <rFont val="맑은 고딕"/>
        <family val="2"/>
      </rPr>
      <t xml:space="preserve">비율 추이</t>
    </r>
  </si>
  <si>
    <r>
      <rPr>
        <sz val="10"/>
        <rFont val="맑은 고딕"/>
        <family val="0"/>
        <charset val="1"/>
      </rPr>
      <t xml:space="preserve">O₂ </t>
    </r>
    <r>
      <rPr>
        <sz val="10"/>
        <rFont val="맑은 고딕"/>
        <family val="2"/>
      </rPr>
      <t xml:space="preserve">목표 범위 하향 운전</t>
    </r>
    <r>
      <rPr>
        <sz val="10"/>
        <rFont val="맑은 고딕"/>
        <family val="0"/>
        <charset val="1"/>
      </rPr>
      <t xml:space="preserve">(CO </t>
    </r>
    <r>
      <rPr>
        <sz val="10"/>
        <rFont val="맑은 고딕"/>
        <family val="2"/>
      </rPr>
      <t xml:space="preserve">상승 주의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</si>
  <si>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연소 제어</t>
    </r>
    <r>
      <rPr>
        <sz val="10"/>
        <rFont val="맑은 고딕"/>
        <family val="0"/>
        <charset val="1"/>
      </rPr>
      <t xml:space="preserve">(O₂·CO) </t>
    </r>
    <r>
      <rPr>
        <sz val="10"/>
        <rFont val="맑은 고딕"/>
        <family val="2"/>
      </rPr>
      <t xml:space="preserve">최적화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알칼리 투입 관리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바이패스 운전 기준</t>
    </r>
  </si>
  <si>
    <r>
      <rPr>
        <sz val="10"/>
        <rFont val="맑은 고딕"/>
        <family val="2"/>
      </rPr>
      <t xml:space="preserve">클링커 비율 증가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희석 감소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</si>
  <si>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석회석 등 혼합재 비율이 줄면 클링커 유래 </t>
    </r>
    <r>
      <rPr>
        <sz val="10"/>
        <rFont val="맑은 고딕"/>
        <family val="0"/>
        <charset val="1"/>
      </rPr>
      <t xml:space="preserve">Cr⁶⁺</t>
    </r>
    <r>
      <rPr>
        <sz val="10"/>
        <rFont val="맑은 고딕"/>
        <family val="2"/>
      </rPr>
      <t xml:space="preserve">가 덜 희석된다</t>
    </r>
    <r>
      <rPr>
        <sz val="10"/>
        <rFont val="맑은 고딕"/>
        <family val="0"/>
        <charset val="1"/>
      </rPr>
      <t xml:space="preserve">.</t>
    </r>
  </si>
  <si>
    <t xml:space="preserve">석회석 혼합률↓</t>
  </si>
  <si>
    <t xml:space="preserve">혼합재 비율 확인</t>
  </si>
  <si>
    <t xml:space="preserve">품종별 혼합재 비율 기준 관리</t>
  </si>
  <si>
    <r>
      <rPr>
        <sz val="10"/>
        <rFont val="맑은 고딕"/>
        <family val="0"/>
        <charset val="1"/>
      </rPr>
      <t xml:space="preserve">6</t>
    </r>
    <r>
      <rPr>
        <sz val="10"/>
        <rFont val="맑은 고딕"/>
        <family val="2"/>
      </rPr>
      <t xml:space="preserve">가크롬 시험 오차</t>
    </r>
    <r>
      <rPr>
        <sz val="10"/>
        <rFont val="맑은 고딕"/>
        <family val="0"/>
        <charset val="1"/>
      </rPr>
      <t xml:space="preserve">(KS L 5221)</t>
    </r>
  </si>
  <si>
    <r>
      <rPr>
        <sz val="10"/>
        <rFont val="맑은 고딕"/>
        <family val="2"/>
      </rPr>
      <t xml:space="preserve">수용성 </t>
    </r>
    <r>
      <rPr>
        <sz val="10"/>
        <rFont val="맑은 고딕"/>
        <family val="0"/>
        <charset val="1"/>
      </rPr>
      <t xml:space="preserve">Cr⁶⁺</t>
    </r>
    <r>
      <rPr>
        <sz val="10"/>
        <rFont val="맑은 고딕"/>
        <family val="2"/>
      </rPr>
      <t xml:space="preserve">는 시료 보관 기간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추출 조건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발색</t>
    </r>
    <r>
      <rPr>
        <sz val="10"/>
        <rFont val="맑은 고딕"/>
        <family val="0"/>
        <charset val="1"/>
      </rPr>
      <t xml:space="preserve">(DPC) </t>
    </r>
    <r>
      <rPr>
        <sz val="10"/>
        <rFont val="맑은 고딕"/>
        <family val="2"/>
      </rPr>
      <t xml:space="preserve">시간에 민감하다</t>
    </r>
    <r>
      <rPr>
        <sz val="10"/>
        <rFont val="맑은 고딕"/>
        <family val="0"/>
        <charset val="1"/>
      </rPr>
      <t xml:space="preserve">. </t>
    </r>
    <r>
      <rPr>
        <sz val="10"/>
        <rFont val="맑은 고딕"/>
        <family val="2"/>
      </rPr>
      <t xml:space="preserve">단발성이면 재시험을 먼저 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</si>
  <si>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보관 시료 재시험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표준용액 검량선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블랭크 확인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시료 채취 후 시험까지 경과시간 확인</t>
    </r>
  </si>
  <si>
    <t xml:space="preserve">재시험 결과로 판정 확정</t>
  </si>
  <si>
    <r>
      <rPr>
        <sz val="10"/>
        <rFont val="맑은 고딕"/>
        <family val="2"/>
      </rPr>
      <t xml:space="preserve">시험 절차 표준화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정도관리</t>
    </r>
  </si>
  <si>
    <r>
      <rPr>
        <sz val="10"/>
        <rFont val="맑은 고딕"/>
        <family val="2"/>
      </rPr>
      <t xml:space="preserve">클링커 수용성 </t>
    </r>
    <r>
      <rPr>
        <sz val="10"/>
        <rFont val="맑은 고딕"/>
        <family val="0"/>
        <charset val="1"/>
      </rPr>
      <t xml:space="preserve">Cr⁶⁺ </t>
    </r>
    <r>
      <rPr>
        <sz val="10"/>
        <rFont val="맑은 고딕"/>
        <family val="2"/>
      </rPr>
      <t xml:space="preserve">상승</t>
    </r>
  </si>
  <si>
    <r>
      <rPr>
        <sz val="10"/>
        <rFont val="맑은 고딕"/>
        <family val="2"/>
      </rPr>
      <t xml:space="preserve">클링커 </t>
    </r>
    <r>
      <rPr>
        <sz val="10"/>
        <rFont val="맑은 고딕"/>
        <family val="0"/>
        <charset val="1"/>
      </rPr>
      <t xml:space="preserve">Cr⁶⁺ </t>
    </r>
    <r>
      <rPr>
        <sz val="10"/>
        <rFont val="맑은 고딕"/>
        <family val="2"/>
      </rPr>
      <t xml:space="preserve">분석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시료 채취 오차</t>
    </r>
  </si>
  <si>
    <t xml:space="preserve">클링커 총 크롬 상승</t>
  </si>
  <si>
    <r>
      <rPr>
        <sz val="10"/>
        <rFont val="맑은 고딕"/>
        <family val="2"/>
      </rPr>
      <t xml:space="preserve">고</t>
    </r>
    <r>
      <rPr>
        <sz val="10"/>
        <rFont val="맑은 고딕"/>
        <family val="0"/>
        <charset val="1"/>
      </rPr>
      <t xml:space="preserve">Cr </t>
    </r>
    <r>
      <rPr>
        <sz val="10"/>
        <rFont val="맑은 고딕"/>
        <family val="2"/>
      </rPr>
      <t xml:space="preserve">원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부원료 투입</t>
    </r>
  </si>
  <si>
    <r>
      <rPr>
        <sz val="10"/>
        <rFont val="맑은 고딕"/>
        <family val="2"/>
      </rPr>
      <t xml:space="preserve">철질원 대체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제강슬래그</t>
    </r>
    <r>
      <rPr>
        <sz val="10"/>
        <rFont val="맑은 고딕"/>
        <family val="0"/>
        <charset val="1"/>
      </rPr>
      <t xml:space="preserve">)·</t>
    </r>
    <r>
      <rPr>
        <sz val="10"/>
        <rFont val="맑은 고딕"/>
        <family val="2"/>
      </rPr>
      <t xml:space="preserve">석탄재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슬러지 등 </t>
    </r>
    <r>
      <rPr>
        <sz val="10"/>
        <rFont val="맑은 고딕"/>
        <family val="0"/>
        <charset val="1"/>
      </rPr>
      <t xml:space="preserve">Lot </t>
    </r>
    <r>
      <rPr>
        <sz val="10"/>
        <rFont val="맑은 고딕"/>
        <family val="2"/>
      </rPr>
      <t xml:space="preserve">변경</t>
    </r>
    <r>
      <rPr>
        <sz val="10"/>
        <rFont val="맑은 고딕"/>
        <family val="0"/>
        <charset val="1"/>
      </rPr>
      <t xml:space="preserve">.</t>
    </r>
  </si>
  <si>
    <t xml:space="preserve">크롬계 내화물 마모 증가</t>
  </si>
  <si>
    <r>
      <rPr>
        <sz val="10"/>
        <rFont val="맑은 고딕"/>
        <family val="2"/>
      </rPr>
      <t xml:space="preserve">마그네시아</t>
    </r>
    <r>
      <rPr>
        <sz val="10"/>
        <rFont val="맑은 고딕"/>
        <family val="0"/>
        <charset val="1"/>
      </rPr>
      <t xml:space="preserve">-</t>
    </r>
    <r>
      <rPr>
        <sz val="10"/>
        <rFont val="맑은 고딕"/>
        <family val="2"/>
      </rPr>
      <t xml:space="preserve">크롬 벽돌 마모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탈락 시 클링커 </t>
    </r>
    <r>
      <rPr>
        <sz val="10"/>
        <rFont val="맑은 고딕"/>
        <family val="0"/>
        <charset val="1"/>
      </rPr>
      <t xml:space="preserve">Cr</t>
    </r>
    <r>
      <rPr>
        <sz val="10"/>
        <rFont val="맑은 고딕"/>
        <family val="2"/>
      </rPr>
      <t xml:space="preserve">이 증가한다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</si>
  <si>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킬른 쉘 온도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내화물 점검 이력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내화물 원단위</t>
    </r>
    <r>
      <rPr>
        <sz val="10"/>
        <rFont val="맑은 고딕"/>
        <family val="0"/>
        <charset val="1"/>
      </rPr>
      <t xml:space="preserve">(kg/t) </t>
    </r>
    <r>
      <rPr>
        <sz val="10"/>
        <rFont val="맑은 고딕"/>
        <family val="2"/>
      </rPr>
      <t xml:space="preserve">확인</t>
    </r>
  </si>
  <si>
    <t xml:space="preserve">코팅 보호 운전</t>
  </si>
  <si>
    <r>
      <rPr>
        <sz val="10"/>
        <rFont val="맑은 고딕"/>
        <family val="2"/>
      </rPr>
      <t xml:space="preserve">크롬프리 내화물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마그네시아</t>
    </r>
    <r>
      <rPr>
        <sz val="10"/>
        <rFont val="맑은 고딕"/>
        <family val="0"/>
        <charset val="1"/>
      </rPr>
      <t xml:space="preserve">-</t>
    </r>
    <r>
      <rPr>
        <sz val="10"/>
        <rFont val="맑은 고딕"/>
        <family val="2"/>
      </rPr>
      <t xml:space="preserve">스피넬</t>
    </r>
    <r>
      <rPr>
        <sz val="10"/>
        <rFont val="맑은 고딕"/>
        <family val="0"/>
        <charset val="1"/>
      </rPr>
      <t xml:space="preserve">) </t>
    </r>
    <r>
      <rPr>
        <sz val="10"/>
        <rFont val="맑은 고딕"/>
        <family val="2"/>
      </rPr>
      <t xml:space="preserve">전환 검토</t>
    </r>
  </si>
  <si>
    <r>
      <rPr>
        <sz val="10"/>
        <rFont val="맑은 고딕"/>
        <family val="2"/>
      </rPr>
      <t xml:space="preserve">총 크롬 분석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시료 채취 오차</t>
    </r>
  </si>
  <si>
    <t xml:space="preserve">석회석 혼합률 상승</t>
  </si>
  <si>
    <r>
      <rPr>
        <sz val="10"/>
        <rFont val="맑은 고딕"/>
        <family val="2"/>
      </rPr>
      <t xml:space="preserve">석회석 정량공급기 이상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설정 오류</t>
    </r>
  </si>
  <si>
    <r>
      <rPr>
        <sz val="10"/>
        <rFont val="맑은 고딕"/>
        <family val="2"/>
      </rPr>
      <t xml:space="preserve">공급기 계량 오차나 설정 변경으로 혼합률이 늘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</si>
  <si>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공급기 교정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설정값 변경 이력 확인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밀 투입 비율 실측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벨트 스케일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</si>
  <si>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공급기 설정 원복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교정</t>
    </r>
  </si>
  <si>
    <r>
      <rPr>
        <sz val="10"/>
        <rFont val="맑은 고딕"/>
        <family val="2"/>
      </rPr>
      <t xml:space="preserve">정량공급기 정기 교정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설정 변경 승인 절차</t>
    </r>
  </si>
  <si>
    <r>
      <rPr>
        <sz val="10"/>
        <rFont val="맑은 고딕"/>
        <family val="2"/>
      </rPr>
      <t xml:space="preserve">혼합률 산정 오차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강열감량</t>
    </r>
    <r>
      <rPr>
        <sz val="10"/>
        <rFont val="맑은 고딕"/>
        <family val="0"/>
        <charset val="1"/>
      </rPr>
      <t xml:space="preserve">·CaCO₃ </t>
    </r>
    <r>
      <rPr>
        <sz val="10"/>
        <rFont val="맑은 고딕"/>
        <family val="2"/>
      </rPr>
      <t xml:space="preserve">분석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</si>
  <si>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혼합률을 강열감량</t>
    </r>
    <r>
      <rPr>
        <sz val="10"/>
        <rFont val="맑은 고딕"/>
        <family val="0"/>
        <charset val="1"/>
      </rPr>
      <t xml:space="preserve">·CO₂</t>
    </r>
    <r>
      <rPr>
        <sz val="10"/>
        <rFont val="맑은 고딕"/>
        <family val="2"/>
      </rPr>
      <t xml:space="preserve">로 역산하는 경우 석고 결정수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클링커 풍화 변동이 오차가 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</si>
  <si>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CO₂ </t>
    </r>
    <r>
      <rPr>
        <sz val="10"/>
        <rFont val="맑은 고딕"/>
        <family val="2"/>
      </rPr>
      <t xml:space="preserve">직접 분석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탄소분석기</t>
    </r>
    <r>
      <rPr>
        <sz val="10"/>
        <rFont val="맑은 고딕"/>
        <family val="0"/>
        <charset val="1"/>
      </rPr>
      <t xml:space="preserve">)</t>
    </r>
    <r>
      <rPr>
        <sz val="10"/>
        <rFont val="맑은 고딕"/>
        <family val="2"/>
      </rPr>
      <t xml:space="preserve">으로 혼합률 확인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석고 결정수 확인</t>
    </r>
  </si>
  <si>
    <t xml:space="preserve">분석 방법 확인 후 판정</t>
  </si>
  <si>
    <r>
      <rPr>
        <sz val="10"/>
        <rFont val="맑은 고딕"/>
        <family val="2"/>
      </rPr>
      <t xml:space="preserve">혼합률 산정식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분석법 표준화</t>
    </r>
  </si>
  <si>
    <r>
      <rPr>
        <sz val="10"/>
        <rFont val="맑은 고딕"/>
        <family val="2"/>
      </rPr>
      <t xml:space="preserve">석회석 혼합률 분석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시료 채취 오차</t>
    </r>
  </si>
  <si>
    <r>
      <rPr>
        <sz val="10"/>
        <rFont val="맑은 고딕"/>
        <family val="2"/>
      </rPr>
      <t xml:space="preserve">양생수 온도 이탈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시험조건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</si>
  <si>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항온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항습 설비 이상</t>
    </r>
  </si>
  <si>
    <r>
      <rPr>
        <sz val="10"/>
        <rFont val="맑은 고딕"/>
        <family val="2"/>
      </rPr>
      <t xml:space="preserve">양생수조 히터</t>
    </r>
    <r>
      <rPr>
        <sz val="10"/>
        <rFont val="맑은 고딕"/>
        <family val="0"/>
        <charset val="1"/>
      </rPr>
      <t xml:space="preserve">/</t>
    </r>
    <r>
      <rPr>
        <sz val="10"/>
        <rFont val="맑은 고딕"/>
        <family val="2"/>
      </rPr>
      <t xml:space="preserve">칠러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시험실 공조기 고장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설정 오류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</si>
  <si>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2"/>
      </rPr>
      <t xml:space="preserve">온도 기록계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제어기 상태 확인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센서 교정 상태 확인</t>
    </r>
  </si>
  <si>
    <r>
      <rPr>
        <sz val="10"/>
        <rFont val="맑은 고딕"/>
        <family val="2"/>
      </rPr>
      <t xml:space="preserve">설비 수리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예비 설비 사용</t>
    </r>
  </si>
  <si>
    <r>
      <rPr>
        <sz val="10"/>
        <rFont val="맑은 고딕"/>
        <family val="2"/>
      </rPr>
      <t xml:space="preserve">자동 기록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이탈 알람 체계 </t>
    </r>
    <r>
      <rPr>
        <sz val="10"/>
        <rFont val="맑은 고딕"/>
        <family val="0"/>
        <charset val="1"/>
      </rPr>
      <t xml:space="preserve">/ </t>
    </r>
    <r>
      <rPr>
        <sz val="10"/>
        <rFont val="맑은 고딕"/>
        <family val="2"/>
      </rPr>
      <t xml:space="preserve">정기 교정</t>
    </r>
  </si>
  <si>
    <t xml:space="preserve">규격</t>
  </si>
  <si>
    <r>
      <rPr>
        <sz val="10"/>
        <rFont val="맑은 고딕"/>
        <family val="2"/>
      </rPr>
      <t xml:space="preserve">기록 오류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센서 오차</t>
    </r>
  </si>
  <si>
    <r>
      <rPr>
        <sz val="10"/>
        <rFont val="맑은 고딕"/>
        <family val="2"/>
      </rPr>
      <t xml:space="preserve">측정 센서 위치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교정 오차 또는 기록 누락</t>
    </r>
    <r>
      <rPr>
        <sz val="10"/>
        <rFont val="맑은 고딕"/>
        <family val="0"/>
        <charset val="1"/>
      </rPr>
      <t xml:space="preserve">.</t>
    </r>
  </si>
  <si>
    <t xml:space="preserve">기준 온도계로 비교 측정</t>
  </si>
  <si>
    <t xml:space="preserve">센서 재교정</t>
  </si>
  <si>
    <t xml:space="preserve">센서 이중화</t>
  </si>
  <si>
    <r>
      <rPr>
        <sz val="10"/>
        <rFont val="맑은 고딕"/>
        <family val="2"/>
      </rPr>
      <t xml:space="preserve">시험실 온도 이탈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시험조건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</si>
  <si>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2"/>
      </rPr>
      <t xml:space="preserve">시험실 습도 이탈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시험조건</t>
    </r>
    <r>
      <rPr>
        <sz val="10"/>
        <rFont val="맑은 고딕"/>
        <family val="0"/>
        <charset val="1"/>
      </rPr>
      <t xml:space="preserve">)</t>
    </r>
  </si>
  <si>
    <r>
      <rPr>
        <sz val="10"/>
        <color rgb="FF5F6B73"/>
        <rFont val="맑은 고딕"/>
        <family val="2"/>
      </rPr>
      <t xml:space="preserve">※ 메커니즘의 정량 수치</t>
    </r>
    <r>
      <rPr>
        <sz val="10"/>
        <color rgb="FF5F6B73"/>
        <rFont val="맑은 고딕"/>
        <family val="0"/>
        <charset val="1"/>
      </rPr>
      <t xml:space="preserve">(</t>
    </r>
    <r>
      <rPr>
        <sz val="10"/>
        <color rgb="FF5F6B73"/>
        <rFont val="맑은 고딕"/>
        <family val="2"/>
      </rPr>
      <t xml:space="preserve">예</t>
    </r>
    <r>
      <rPr>
        <sz val="10"/>
        <color rgb="FF5F6B73"/>
        <rFont val="맑은 고딕"/>
        <family val="0"/>
        <charset val="1"/>
      </rPr>
      <t xml:space="preserve">: Blaine 100 cm²/g </t>
    </r>
    <r>
      <rPr>
        <sz val="10"/>
        <color rgb="FF5F6B73"/>
        <rFont val="맑은 고딕"/>
        <family val="2"/>
      </rPr>
      <t xml:space="preserve">당 강도 변화</t>
    </r>
    <r>
      <rPr>
        <sz val="10"/>
        <color rgb="FF5F6B73"/>
        <rFont val="맑은 고딕"/>
        <family val="0"/>
        <charset val="1"/>
      </rPr>
      <t xml:space="preserve">)</t>
    </r>
    <r>
      <rPr>
        <sz val="10"/>
        <color rgb="FF5F6B73"/>
        <rFont val="맑은 고딕"/>
        <family val="2"/>
      </rPr>
      <t xml:space="preserve">는 업계 경험칙</t>
    </r>
    <r>
      <rPr>
        <sz val="10"/>
        <color rgb="FF5F6B73"/>
        <rFont val="맑은 고딕"/>
        <family val="0"/>
        <charset val="1"/>
      </rPr>
      <t xml:space="preserve">(</t>
    </r>
    <r>
      <rPr>
        <sz val="10"/>
        <color rgb="FF5F6B73"/>
        <rFont val="맑은 고딕"/>
        <family val="2"/>
      </rPr>
      <t xml:space="preserve">추정</t>
    </r>
    <r>
      <rPr>
        <sz val="10"/>
        <color rgb="FF5F6B73"/>
        <rFont val="맑은 고딕"/>
        <family val="0"/>
        <charset val="1"/>
      </rPr>
      <t xml:space="preserve">)</t>
    </r>
    <r>
      <rPr>
        <sz val="10"/>
        <color rgb="FF5F6B73"/>
        <rFont val="맑은 고딕"/>
        <family val="2"/>
      </rPr>
      <t xml:space="preserve">이며 공장 데이터로 검증 후 수정할 것</t>
    </r>
    <r>
      <rPr>
        <sz val="10"/>
        <color rgb="FF5F6B73"/>
        <rFont val="맑은 고딕"/>
        <family val="0"/>
        <charset val="1"/>
      </rPr>
      <t xml:space="preserve">. </t>
    </r>
    <r>
      <rPr>
        <sz val="10"/>
        <color rgb="FF5F6B73"/>
        <rFont val="맑은 고딕"/>
        <family val="2"/>
      </rPr>
      <t xml:space="preserve">사전 가중치 </t>
    </r>
    <r>
      <rPr>
        <sz val="10"/>
        <color rgb="FF5F6B73"/>
        <rFont val="맑은 고딕"/>
        <family val="0"/>
        <charset val="1"/>
      </rPr>
      <t xml:space="preserve">= </t>
    </r>
    <r>
      <rPr>
        <sz val="10"/>
        <color rgb="FF5F6B73"/>
        <rFont val="맑은 고딕"/>
        <family val="2"/>
      </rPr>
      <t xml:space="preserve">경험상 발생 빈도</t>
    </r>
    <r>
      <rPr>
        <sz val="10"/>
        <color rgb="FF5F6B73"/>
        <rFont val="맑은 고딕"/>
        <family val="0"/>
        <charset val="1"/>
      </rPr>
      <t xml:space="preserve">(1.0 </t>
    </r>
    <r>
      <rPr>
        <sz val="10"/>
        <color rgb="FF5F6B73"/>
        <rFont val="맑은 고딕"/>
        <family val="2"/>
      </rPr>
      <t xml:space="preserve">보통</t>
    </r>
    <r>
      <rPr>
        <sz val="10"/>
        <color rgb="FF5F6B73"/>
        <rFont val="맑은 고딕"/>
        <family val="0"/>
        <charset val="1"/>
      </rPr>
      <t xml:space="preserve">).</t>
    </r>
  </si>
  <si>
    <t xml:space="preserve">엑셀 시트</t>
  </si>
  <si>
    <t xml:space="preserve">열 코드</t>
  </si>
  <si>
    <t xml:space="preserve">필수</t>
  </si>
  <si>
    <t xml:space="preserve">생료</t>
  </si>
  <si>
    <t xml:space="preserve">timestamp</t>
  </si>
  <si>
    <r>
      <rPr>
        <sz val="10"/>
        <rFont val="맑은 고딕"/>
        <family val="2"/>
      </rPr>
      <t xml:space="preserve">측정일시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예</t>
    </r>
    <r>
      <rPr>
        <sz val="10"/>
        <rFont val="맑은 고딕"/>
        <family val="0"/>
        <charset val="1"/>
      </rPr>
      <t xml:space="preserve">: 2026-10-07 14:00)</t>
    </r>
  </si>
  <si>
    <t xml:space="preserve">선택</t>
  </si>
  <si>
    <t xml:space="preserve">킬른</t>
  </si>
  <si>
    <t xml:space="preserve">시멘트</t>
  </si>
  <si>
    <t xml:space="preserve">product</t>
  </si>
  <si>
    <r>
      <rPr>
        <sz val="10"/>
        <rFont val="맑은 고딕"/>
        <family val="2"/>
      </rPr>
      <t xml:space="preserve">품종</t>
    </r>
    <r>
      <rPr>
        <sz val="10"/>
        <rFont val="맑은 고딕"/>
        <family val="0"/>
        <charset val="1"/>
      </rPr>
      <t xml:space="preserve">(1</t>
    </r>
    <r>
      <rPr>
        <sz val="10"/>
        <rFont val="맑은 고딕"/>
        <family val="2"/>
      </rPr>
      <t xml:space="preserve">종</t>
    </r>
    <r>
      <rPr>
        <sz val="10"/>
        <rFont val="맑은 고딕"/>
        <family val="0"/>
        <charset val="1"/>
      </rPr>
      <t xml:space="preserve">/3</t>
    </r>
    <r>
      <rPr>
        <sz val="10"/>
        <rFont val="맑은 고딕"/>
        <family val="2"/>
      </rPr>
      <t xml:space="preserve">종</t>
    </r>
    <r>
      <rPr>
        <sz val="10"/>
        <rFont val="맑은 고딕"/>
        <family val="0"/>
        <charset val="1"/>
      </rPr>
      <t xml:space="preserve">)</t>
    </r>
  </si>
  <si>
    <t xml:space="preserve">물성</t>
  </si>
  <si>
    <t xml:space="preserve">sand_lot</t>
  </si>
  <si>
    <r>
      <rPr>
        <sz val="10"/>
        <rFont val="맑은 고딕"/>
        <family val="2"/>
      </rPr>
      <t xml:space="preserve">표준사 </t>
    </r>
    <r>
      <rPr>
        <sz val="10"/>
        <rFont val="맑은 고딕"/>
        <family val="0"/>
        <charset val="1"/>
      </rPr>
      <t xml:space="preserve">Lot</t>
    </r>
  </si>
  <si>
    <t xml:space="preserve">operator</t>
  </si>
  <si>
    <t xml:space="preserve">시험 조</t>
  </si>
  <si>
    <t xml:space="preserve">클링커일일</t>
  </si>
  <si>
    <r>
      <rPr>
        <sz val="10"/>
        <color rgb="FF5F6B73"/>
        <rFont val="맑은 고딕"/>
        <family val="0"/>
        <charset val="1"/>
      </rPr>
      <t xml:space="preserve">※ LSF·SM·IM·C₃S·</t>
    </r>
    <r>
      <rPr>
        <sz val="10"/>
        <color rgb="FF5F6B73"/>
        <rFont val="맑은 고딕"/>
        <family val="2"/>
      </rPr>
      <t xml:space="preserve">액상량 등 파생값은 시스템이 자동 계산하므로 입력하지 않음</t>
    </r>
    <r>
      <rPr>
        <sz val="10"/>
        <color rgb="FF5F6B73"/>
        <rFont val="맑은 고딕"/>
        <family val="0"/>
        <charset val="1"/>
      </rPr>
      <t xml:space="preserve">. </t>
    </r>
    <r>
      <rPr>
        <sz val="10"/>
        <color rgb="FF5F6B73"/>
        <rFont val="맑은 고딕"/>
        <family val="2"/>
      </rPr>
      <t xml:space="preserve">같은 측정일시</t>
    </r>
    <r>
      <rPr>
        <sz val="10"/>
        <color rgb="FF5F6B73"/>
        <rFont val="맑은 고딕"/>
        <family val="0"/>
        <charset val="1"/>
      </rPr>
      <t xml:space="preserve">(+</t>
    </r>
    <r>
      <rPr>
        <sz val="10"/>
        <color rgb="FF5F6B73"/>
        <rFont val="맑은 고딕"/>
        <family val="2"/>
      </rPr>
      <t xml:space="preserve">품종</t>
    </r>
    <r>
      <rPr>
        <sz val="10"/>
        <color rgb="FF5F6B73"/>
        <rFont val="맑은 고딕"/>
        <family val="0"/>
        <charset val="1"/>
      </rPr>
      <t xml:space="preserve">)</t>
    </r>
    <r>
      <rPr>
        <sz val="10"/>
        <color rgb="FF5F6B73"/>
        <rFont val="맑은 고딕"/>
        <family val="2"/>
      </rPr>
      <t xml:space="preserve">는 값이 있는 칸만 덮어씀</t>
    </r>
    <r>
      <rPr>
        <sz val="10"/>
        <color rgb="FF5F6B73"/>
        <rFont val="맑은 고딕"/>
        <family val="0"/>
        <charset val="1"/>
      </rPr>
      <t xml:space="preserve">(</t>
    </r>
    <r>
      <rPr>
        <sz val="10"/>
        <color rgb="FF5F6B73"/>
        <rFont val="맑은 고딕"/>
        <family val="2"/>
      </rPr>
      <t xml:space="preserve">빈 칸은 기존 값 유지 — </t>
    </r>
    <r>
      <rPr>
        <sz val="10"/>
        <color rgb="FF5F6B73"/>
        <rFont val="맑은 고딕"/>
        <family val="0"/>
        <charset val="1"/>
      </rPr>
      <t xml:space="preserve">LIMS </t>
    </r>
    <r>
      <rPr>
        <sz val="10"/>
        <color rgb="FF5F6B73"/>
        <rFont val="맑은 고딕"/>
        <family val="2"/>
      </rPr>
      <t xml:space="preserve">결과 순차 반영</t>
    </r>
    <r>
      <rPr>
        <sz val="10"/>
        <color rgb="FF5F6B73"/>
        <rFont val="맑은 고딕"/>
        <family val="0"/>
        <charset val="1"/>
      </rPr>
      <t xml:space="preserve">).</t>
    </r>
  </si>
  <si>
    <t xml:space="preserve">구분</t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</si>
  <si>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맑은 고딕"/>
        <family val="2"/>
      </rPr>
      <t xml:space="preserve">종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맑은 고딕"/>
        <family val="2"/>
      </rPr>
      <t xml:space="preserve">보통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</si>
  <si>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3</t>
    </r>
    <r>
      <rPr>
        <b val="true"/>
        <sz val="10"/>
        <color rgb="FFFFFFFF"/>
        <rFont val="맑은 고딕"/>
        <family val="2"/>
      </rPr>
      <t xml:space="preserve">종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맑은 고딕"/>
        <family val="2"/>
      </rPr>
      <t xml:space="preserve">조강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</si>
  <si>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근거</t>
  </si>
  <si>
    <t xml:space="preserve">확인 상태</t>
  </si>
  <si>
    <r>
      <rPr>
        <sz val="10"/>
        <rFont val="맑은 고딕"/>
        <family val="2"/>
      </rPr>
      <t xml:space="preserve">압축강도 </t>
    </r>
    <r>
      <rPr>
        <sz val="10"/>
        <rFont val="맑은 고딕"/>
        <family val="0"/>
        <charset val="1"/>
      </rPr>
      <t xml:space="preserve">1</t>
    </r>
    <r>
      <rPr>
        <sz val="10"/>
        <rFont val="맑은 고딕"/>
        <family val="2"/>
      </rPr>
      <t xml:space="preserve">일</t>
    </r>
  </si>
  <si>
    <r>
      <rPr>
        <sz val="10"/>
        <color rgb="FF0000FF"/>
        <rFont val="맑은 고딕"/>
        <family val="0"/>
        <charset val="1"/>
      </rPr>
      <t xml:space="preserve">10.0 MPa </t>
    </r>
    <r>
      <rPr>
        <sz val="10"/>
        <color rgb="FF0000FF"/>
        <rFont val="맑은 고딕"/>
        <family val="2"/>
      </rPr>
      <t xml:space="preserve">이상</t>
    </r>
  </si>
  <si>
    <t xml:space="preserve">KS L 5201</t>
  </si>
  <si>
    <r>
      <rPr>
        <sz val="10"/>
        <rFont val="맑은 고딕"/>
        <family val="2"/>
      </rPr>
      <t xml:space="preserve">웹 검색 확인</t>
    </r>
    <r>
      <rPr>
        <sz val="10"/>
        <rFont val="맑은 고딕"/>
        <family val="0"/>
        <charset val="1"/>
      </rPr>
      <t xml:space="preserve">(2026-10)</t>
    </r>
  </si>
  <si>
    <r>
      <rPr>
        <sz val="10"/>
        <rFont val="맑은 고딕"/>
        <family val="2"/>
      </rPr>
      <t xml:space="preserve">압축강도 </t>
    </r>
    <r>
      <rPr>
        <sz val="10"/>
        <rFont val="맑은 고딕"/>
        <family val="0"/>
        <charset val="1"/>
      </rPr>
      <t xml:space="preserve">3</t>
    </r>
    <r>
      <rPr>
        <sz val="10"/>
        <rFont val="맑은 고딕"/>
        <family val="2"/>
      </rPr>
      <t xml:space="preserve">일</t>
    </r>
  </si>
  <si>
    <r>
      <rPr>
        <sz val="10"/>
        <color rgb="FF0000FF"/>
        <rFont val="맑은 고딕"/>
        <family val="0"/>
        <charset val="1"/>
      </rPr>
      <t xml:space="preserve">12.5 MPa </t>
    </r>
    <r>
      <rPr>
        <sz val="10"/>
        <color rgb="FF0000FF"/>
        <rFont val="맑은 고딕"/>
        <family val="2"/>
      </rPr>
      <t xml:space="preserve">이상</t>
    </r>
  </si>
  <si>
    <r>
      <rPr>
        <sz val="10"/>
        <color rgb="FF0000FF"/>
        <rFont val="맑은 고딕"/>
        <family val="0"/>
        <charset val="1"/>
      </rPr>
      <t xml:space="preserve">20.0 MPa </t>
    </r>
    <r>
      <rPr>
        <sz val="10"/>
        <color rgb="FF0000FF"/>
        <rFont val="맑은 고딕"/>
        <family val="2"/>
      </rPr>
      <t xml:space="preserve">이상</t>
    </r>
  </si>
  <si>
    <r>
      <rPr>
        <sz val="10"/>
        <rFont val="맑은 고딕"/>
        <family val="2"/>
      </rPr>
      <t xml:space="preserve">압축강도 </t>
    </r>
    <r>
      <rPr>
        <sz val="10"/>
        <rFont val="맑은 고딕"/>
        <family val="0"/>
        <charset val="1"/>
      </rPr>
      <t xml:space="preserve">7</t>
    </r>
    <r>
      <rPr>
        <sz val="10"/>
        <rFont val="맑은 고딕"/>
        <family val="2"/>
      </rPr>
      <t xml:space="preserve">일</t>
    </r>
  </si>
  <si>
    <r>
      <rPr>
        <sz val="10"/>
        <color rgb="FF0000FF"/>
        <rFont val="맑은 고딕"/>
        <family val="0"/>
        <charset val="1"/>
      </rPr>
      <t xml:space="preserve">22.5 MPa </t>
    </r>
    <r>
      <rPr>
        <sz val="10"/>
        <color rgb="FF0000FF"/>
        <rFont val="맑은 고딕"/>
        <family val="2"/>
      </rPr>
      <t xml:space="preserve">이상</t>
    </r>
  </si>
  <si>
    <r>
      <rPr>
        <sz val="10"/>
        <color rgb="FF0000FF"/>
        <rFont val="맑은 고딕"/>
        <family val="0"/>
        <charset val="1"/>
      </rPr>
      <t xml:space="preserve">32.5 MPa </t>
    </r>
    <r>
      <rPr>
        <sz val="10"/>
        <color rgb="FF0000FF"/>
        <rFont val="맑은 고딕"/>
        <family val="2"/>
      </rPr>
      <t xml:space="preserve">이상</t>
    </r>
  </si>
  <si>
    <r>
      <rPr>
        <sz val="10"/>
        <rFont val="맑은 고딕"/>
        <family val="2"/>
      </rPr>
      <t xml:space="preserve">압축강도 </t>
    </r>
    <r>
      <rPr>
        <sz val="10"/>
        <rFont val="맑은 고딕"/>
        <family val="0"/>
        <charset val="1"/>
      </rPr>
      <t xml:space="preserve">28</t>
    </r>
    <r>
      <rPr>
        <sz val="10"/>
        <rFont val="맑은 고딕"/>
        <family val="2"/>
      </rPr>
      <t xml:space="preserve">일</t>
    </r>
  </si>
  <si>
    <r>
      <rPr>
        <sz val="10"/>
        <color rgb="FF0000FF"/>
        <rFont val="맑은 고딕"/>
        <family val="0"/>
        <charset val="1"/>
      </rPr>
      <t xml:space="preserve">42.5 MPa </t>
    </r>
    <r>
      <rPr>
        <sz val="10"/>
        <color rgb="FF0000FF"/>
        <rFont val="맑은 고딕"/>
        <family val="2"/>
      </rPr>
      <t xml:space="preserve">이상</t>
    </r>
  </si>
  <si>
    <r>
      <rPr>
        <sz val="10"/>
        <color rgb="FF0000FF"/>
        <rFont val="맑은 고딕"/>
        <family val="0"/>
        <charset val="1"/>
      </rPr>
      <t xml:space="preserve">47.5 MPa </t>
    </r>
    <r>
      <rPr>
        <sz val="10"/>
        <color rgb="FF0000FF"/>
        <rFont val="맑은 고딕"/>
        <family val="2"/>
      </rPr>
      <t xml:space="preserve">이상</t>
    </r>
  </si>
  <si>
    <r>
      <rPr>
        <sz val="10"/>
        <rFont val="맑은 고딕"/>
        <family val="2"/>
      </rPr>
      <t xml:space="preserve">분말도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비표면적</t>
    </r>
    <r>
      <rPr>
        <sz val="10"/>
        <rFont val="맑은 고딕"/>
        <family val="0"/>
        <charset val="1"/>
      </rPr>
      <t xml:space="preserve">)</t>
    </r>
  </si>
  <si>
    <r>
      <rPr>
        <sz val="10"/>
        <color rgb="FF0000FF"/>
        <rFont val="맑은 고딕"/>
        <family val="0"/>
        <charset val="1"/>
      </rPr>
      <t xml:space="preserve">2,800 cm²/g </t>
    </r>
    <r>
      <rPr>
        <sz val="10"/>
        <color rgb="FF0000FF"/>
        <rFont val="맑은 고딕"/>
        <family val="2"/>
      </rPr>
      <t xml:space="preserve">이상</t>
    </r>
  </si>
  <si>
    <r>
      <rPr>
        <sz val="10"/>
        <color rgb="FF0000FF"/>
        <rFont val="맑은 고딕"/>
        <family val="0"/>
        <charset val="1"/>
      </rPr>
      <t xml:space="preserve">3,300 cm²/g </t>
    </r>
    <r>
      <rPr>
        <sz val="10"/>
        <color rgb="FF0000FF"/>
        <rFont val="맑은 고딕"/>
        <family val="2"/>
      </rPr>
      <t xml:space="preserve">이상</t>
    </r>
  </si>
  <si>
    <r>
      <rPr>
        <sz val="10"/>
        <rFont val="맑은 고딕"/>
        <family val="0"/>
        <charset val="1"/>
      </rPr>
      <t xml:space="preserve">KS L 5201 (</t>
    </r>
    <r>
      <rPr>
        <sz val="10"/>
        <rFont val="맑은 고딕"/>
        <family val="2"/>
      </rPr>
      <t xml:space="preserve">시험</t>
    </r>
    <r>
      <rPr>
        <sz val="10"/>
        <rFont val="맑은 고딕"/>
        <family val="0"/>
        <charset val="1"/>
      </rPr>
      <t xml:space="preserve">: KS L 5106)</t>
    </r>
  </si>
  <si>
    <r>
      <rPr>
        <sz val="10"/>
        <rFont val="맑은 고딕"/>
        <family val="2"/>
      </rPr>
      <t xml:space="preserve">응결시간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비카</t>
    </r>
    <r>
      <rPr>
        <sz val="10"/>
        <rFont val="맑은 고딕"/>
        <family val="0"/>
        <charset val="1"/>
      </rPr>
      <t xml:space="preserve">)</t>
    </r>
  </si>
  <si>
    <r>
      <rPr>
        <sz val="10"/>
        <color rgb="FF0000FF"/>
        <rFont val="맑은 고딕"/>
        <family val="2"/>
      </rPr>
      <t xml:space="preserve">초결 </t>
    </r>
    <r>
      <rPr>
        <sz val="10"/>
        <color rgb="FF0000FF"/>
        <rFont val="맑은 고딕"/>
        <family val="0"/>
        <charset val="1"/>
      </rPr>
      <t xml:space="preserve">60</t>
    </r>
    <r>
      <rPr>
        <sz val="10"/>
        <color rgb="FF0000FF"/>
        <rFont val="맑은 고딕"/>
        <family val="2"/>
      </rPr>
      <t xml:space="preserve">분 이상</t>
    </r>
    <r>
      <rPr>
        <sz val="10"/>
        <color rgb="FF0000FF"/>
        <rFont val="맑은 고딕"/>
        <family val="0"/>
        <charset val="1"/>
      </rPr>
      <t xml:space="preserve">, </t>
    </r>
    <r>
      <rPr>
        <sz val="10"/>
        <color rgb="FF0000FF"/>
        <rFont val="맑은 고딕"/>
        <family val="2"/>
      </rPr>
      <t xml:space="preserve">종결 </t>
    </r>
    <r>
      <rPr>
        <sz val="10"/>
        <color rgb="FF0000FF"/>
        <rFont val="맑은 고딕"/>
        <family val="0"/>
        <charset val="1"/>
      </rPr>
      <t xml:space="preserve">10</t>
    </r>
    <r>
      <rPr>
        <sz val="10"/>
        <color rgb="FF0000FF"/>
        <rFont val="맑은 고딕"/>
        <family val="2"/>
      </rPr>
      <t xml:space="preserve">시간 이하</t>
    </r>
  </si>
  <si>
    <r>
      <rPr>
        <sz val="10"/>
        <color rgb="FF0000FF"/>
        <rFont val="맑은 고딕"/>
        <family val="0"/>
        <charset val="1"/>
      </rPr>
      <t xml:space="preserve">1</t>
    </r>
    <r>
      <rPr>
        <sz val="10"/>
        <color rgb="FF0000FF"/>
        <rFont val="맑은 고딕"/>
        <family val="2"/>
      </rPr>
      <t xml:space="preserve">종과 동일 적용</t>
    </r>
  </si>
  <si>
    <r>
      <rPr>
        <sz val="10"/>
        <rFont val="맑은 고딕"/>
        <family val="0"/>
        <charset val="1"/>
      </rPr>
      <t xml:space="preserve">KS L 5201 (</t>
    </r>
    <r>
      <rPr>
        <sz val="10"/>
        <rFont val="맑은 고딕"/>
        <family val="2"/>
      </rPr>
      <t xml:space="preserve">시험</t>
    </r>
    <r>
      <rPr>
        <sz val="10"/>
        <rFont val="맑은 고딕"/>
        <family val="0"/>
        <charset val="1"/>
      </rPr>
      <t xml:space="preserve">: KS L 5108)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</si>
  <si>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맑은 고딕"/>
        <family val="2"/>
      </rPr>
      <t xml:space="preserve">종 확인 </t>
    </r>
    <r>
      <rPr>
        <sz val="10"/>
        <rFont val="맑은 고딕"/>
        <family val="0"/>
        <charset val="1"/>
      </rPr>
      <t xml:space="preserve">· 3</t>
    </r>
    <r>
      <rPr>
        <sz val="10"/>
        <rFont val="맑은 고딕"/>
        <family val="2"/>
      </rPr>
      <t xml:space="preserve">종 원문 대조 필요</t>
    </r>
  </si>
  <si>
    <r>
      <rPr>
        <sz val="10"/>
        <rFont val="맑은 고딕"/>
        <family val="2"/>
      </rPr>
      <t xml:space="preserve">안정도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오토클레이브 팽창도</t>
    </r>
    <r>
      <rPr>
        <sz val="10"/>
        <rFont val="맑은 고딕"/>
        <family val="0"/>
        <charset val="1"/>
      </rPr>
      <t xml:space="preserve">)</t>
    </r>
  </si>
  <si>
    <r>
      <rPr>
        <sz val="10"/>
        <color rgb="FF0000FF"/>
        <rFont val="맑은 고딕"/>
        <family val="0"/>
        <charset val="1"/>
      </rPr>
      <t xml:space="preserve">0.8% </t>
    </r>
    <r>
      <rPr>
        <sz val="10"/>
        <color rgb="FF0000FF"/>
        <rFont val="맑은 고딕"/>
        <family val="2"/>
      </rPr>
      <t xml:space="preserve">이하</t>
    </r>
  </si>
  <si>
    <r>
      <rPr>
        <sz val="10"/>
        <rFont val="맑은 고딕"/>
        <family val="0"/>
        <charset val="1"/>
      </rPr>
      <t xml:space="preserve">KS L 5201 (</t>
    </r>
    <r>
      <rPr>
        <sz val="10"/>
        <rFont val="맑은 고딕"/>
        <family val="2"/>
      </rPr>
      <t xml:space="preserve">시험</t>
    </r>
    <r>
      <rPr>
        <sz val="10"/>
        <rFont val="맑은 고딕"/>
        <family val="0"/>
        <charset val="1"/>
      </rPr>
      <t xml:space="preserve">: KS L 5107)</t>
    </r>
  </si>
  <si>
    <r>
      <rPr>
        <sz val="10"/>
        <rFont val="맑은 고딕"/>
        <family val="2"/>
      </rPr>
      <t xml:space="preserve">산화마그네슘</t>
    </r>
    <r>
      <rPr>
        <sz val="10"/>
        <rFont val="맑은 고딕"/>
        <family val="0"/>
        <charset val="1"/>
      </rPr>
      <t xml:space="preserve">(MgO)</t>
    </r>
  </si>
  <si>
    <r>
      <rPr>
        <sz val="10"/>
        <color rgb="FF0000FF"/>
        <rFont val="맑은 고딕"/>
        <family val="0"/>
        <charset val="1"/>
      </rPr>
      <t xml:space="preserve">5.0% </t>
    </r>
    <r>
      <rPr>
        <sz val="10"/>
        <color rgb="FF0000FF"/>
        <rFont val="맑은 고딕"/>
        <family val="2"/>
      </rPr>
      <t xml:space="preserve">이하</t>
    </r>
  </si>
  <si>
    <r>
      <rPr>
        <sz val="10"/>
        <rFont val="맑은 고딕"/>
        <family val="2"/>
      </rPr>
      <t xml:space="preserve">삼산화황</t>
    </r>
    <r>
      <rPr>
        <sz val="10"/>
        <rFont val="맑은 고딕"/>
        <family val="0"/>
        <charset val="1"/>
      </rPr>
      <t xml:space="preserve">(SO₃)</t>
    </r>
  </si>
  <si>
    <r>
      <rPr>
        <sz val="10"/>
        <color rgb="FF0000FF"/>
        <rFont val="맑은 고딕"/>
        <family val="0"/>
        <charset val="1"/>
      </rPr>
      <t xml:space="preserve">3.5% </t>
    </r>
    <r>
      <rPr>
        <sz val="10"/>
        <color rgb="FF0000FF"/>
        <rFont val="맑은 고딕"/>
        <family val="2"/>
      </rPr>
      <t xml:space="preserve">이하</t>
    </r>
  </si>
  <si>
    <r>
      <rPr>
        <sz val="10"/>
        <color rgb="FF0000FF"/>
        <rFont val="맑은 고딕"/>
        <family val="0"/>
        <charset val="1"/>
      </rPr>
      <t xml:space="preserve">4.5% </t>
    </r>
    <r>
      <rPr>
        <sz val="10"/>
        <color rgb="FF0000FF"/>
        <rFont val="맑은 고딕"/>
        <family val="2"/>
      </rPr>
      <t xml:space="preserve">이하</t>
    </r>
  </si>
  <si>
    <t xml:space="preserve">강열감량</t>
  </si>
  <si>
    <r>
      <rPr>
        <sz val="10"/>
        <rFont val="맑은 고딕"/>
        <family val="0"/>
        <charset val="1"/>
      </rPr>
      <t xml:space="preserve">KS L 5201 (2016 </t>
    </r>
    <r>
      <rPr>
        <sz val="10"/>
        <rFont val="맑은 고딕"/>
        <family val="2"/>
      </rPr>
      <t xml:space="preserve">개정 </t>
    </r>
    <r>
      <rPr>
        <sz val="10"/>
        <rFont val="맑은 고딕"/>
        <family val="0"/>
        <charset val="1"/>
      </rPr>
      <t xml:space="preserve">3.0→5.0%)</t>
    </r>
  </si>
  <si>
    <t xml:space="preserve">강도 시험조건</t>
  </si>
  <si>
    <r>
      <rPr>
        <sz val="10"/>
        <color rgb="FF0000FF"/>
        <rFont val="맑은 고딕"/>
        <family val="2"/>
      </rPr>
      <t xml:space="preserve">시험실 </t>
    </r>
    <r>
      <rPr>
        <sz val="10"/>
        <color rgb="FF0000FF"/>
        <rFont val="맑은 고딕"/>
        <family val="0"/>
        <charset val="1"/>
      </rPr>
      <t xml:space="preserve">20±2 ℃·RH 50% </t>
    </r>
    <r>
      <rPr>
        <sz val="10"/>
        <color rgb="FF0000FF"/>
        <rFont val="맑은 고딕"/>
        <family val="2"/>
      </rPr>
      <t xml:space="preserve">이상</t>
    </r>
    <r>
      <rPr>
        <sz val="10"/>
        <color rgb="FF0000FF"/>
        <rFont val="맑은 고딕"/>
        <family val="0"/>
        <charset val="1"/>
      </rPr>
      <t xml:space="preserve">, </t>
    </r>
    <r>
      <rPr>
        <sz val="10"/>
        <color rgb="FF0000FF"/>
        <rFont val="맑은 고딕"/>
        <family val="2"/>
      </rPr>
      <t xml:space="preserve">양생수 </t>
    </r>
    <r>
      <rPr>
        <sz val="10"/>
        <color rgb="FF0000FF"/>
        <rFont val="맑은 고딕"/>
        <family val="0"/>
        <charset val="1"/>
      </rPr>
      <t xml:space="preserve">20±1 ℃, </t>
    </r>
    <r>
      <rPr>
        <sz val="10"/>
        <color rgb="FF0000FF"/>
        <rFont val="맑은 고딕"/>
        <family val="2"/>
      </rPr>
      <t xml:space="preserve">재하 </t>
    </r>
    <r>
      <rPr>
        <sz val="10"/>
        <color rgb="FF0000FF"/>
        <rFont val="맑은 고딕"/>
        <family val="0"/>
        <charset val="1"/>
      </rPr>
      <t xml:space="preserve">2,400±200 N/s</t>
    </r>
  </si>
  <si>
    <t xml:space="preserve">동일</t>
  </si>
  <si>
    <t xml:space="preserve">KS L ISO 679 (ISO 679)</t>
  </si>
  <si>
    <r>
      <rPr>
        <sz val="10"/>
        <rFont val="맑은 고딕"/>
        <family val="0"/>
        <charset val="1"/>
      </rPr>
      <t xml:space="preserve">ISO 679 </t>
    </r>
    <r>
      <rPr>
        <sz val="10"/>
        <rFont val="맑은 고딕"/>
        <family val="2"/>
      </rPr>
      <t xml:space="preserve">규정값 적용 — </t>
    </r>
    <r>
      <rPr>
        <sz val="10"/>
        <rFont val="맑은 고딕"/>
        <family val="0"/>
        <charset val="1"/>
      </rPr>
      <t xml:space="preserve">KS </t>
    </r>
    <r>
      <rPr>
        <sz val="10"/>
        <rFont val="맑은 고딕"/>
        <family val="2"/>
      </rPr>
      <t xml:space="preserve">원문 대조 필요</t>
    </r>
  </si>
  <si>
    <r>
      <rPr>
        <sz val="10"/>
        <rFont val="맑은 고딕"/>
        <family val="2"/>
      </rPr>
      <t xml:space="preserve">수용성 </t>
    </r>
    <r>
      <rPr>
        <sz val="10"/>
        <rFont val="맑은 고딕"/>
        <family val="0"/>
        <charset val="1"/>
      </rPr>
      <t xml:space="preserve">6</t>
    </r>
    <r>
      <rPr>
        <sz val="10"/>
        <rFont val="맑은 고딕"/>
        <family val="2"/>
      </rPr>
      <t xml:space="preserve">가크롬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참고</t>
    </r>
    <r>
      <rPr>
        <sz val="10"/>
        <rFont val="맑은 고딕"/>
        <family val="0"/>
        <charset val="1"/>
      </rPr>
      <t xml:space="preserve">)</t>
    </r>
  </si>
  <si>
    <r>
      <rPr>
        <sz val="10"/>
        <color rgb="FF0000FF"/>
        <rFont val="맑은 고딕"/>
        <family val="0"/>
        <charset val="1"/>
      </rPr>
      <t xml:space="preserve">20 mg/kg </t>
    </r>
    <r>
      <rPr>
        <sz val="10"/>
        <color rgb="FF0000FF"/>
        <rFont val="맑은 고딕"/>
        <family val="2"/>
      </rPr>
      <t xml:space="preserve">이하</t>
    </r>
  </si>
  <si>
    <r>
      <rPr>
        <sz val="10"/>
        <rFont val="맑은 고딕"/>
        <family val="2"/>
      </rPr>
      <t xml:space="preserve">환경부–시멘트업계 자율협약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시험</t>
    </r>
    <r>
      <rPr>
        <sz val="10"/>
        <rFont val="맑은 고딕"/>
        <family val="0"/>
        <charset val="1"/>
      </rPr>
      <t xml:space="preserve">: KS L 5221) — KS L 5201 </t>
    </r>
    <r>
      <rPr>
        <sz val="10"/>
        <rFont val="맑은 고딕"/>
        <family val="2"/>
      </rPr>
      <t xml:space="preserve">아님</t>
    </r>
  </si>
  <si>
    <r>
      <rPr>
        <sz val="10"/>
        <rFont val="맑은 고딕"/>
        <family val="2"/>
      </rPr>
      <t xml:space="preserve">웹 검색 확인</t>
    </r>
    <r>
      <rPr>
        <sz val="10"/>
        <rFont val="맑은 고딕"/>
        <family val="0"/>
        <charset val="1"/>
      </rPr>
      <t xml:space="preserve">(2026-10) · </t>
    </r>
    <r>
      <rPr>
        <sz val="10"/>
        <rFont val="맑은 고딕"/>
        <family val="2"/>
      </rPr>
      <t xml:space="preserve">협약 원문 확인 권장</t>
    </r>
  </si>
  <si>
    <r>
      <rPr>
        <sz val="10"/>
        <rFont val="맑은 고딕"/>
        <family val="2"/>
      </rPr>
      <t xml:space="preserve">수용성 </t>
    </r>
    <r>
      <rPr>
        <sz val="10"/>
        <rFont val="맑은 고딕"/>
        <family val="0"/>
        <charset val="1"/>
      </rPr>
      <t xml:space="preserve">6</t>
    </r>
    <r>
      <rPr>
        <sz val="10"/>
        <rFont val="맑은 고딕"/>
        <family val="2"/>
      </rPr>
      <t xml:space="preserve">가크롬</t>
    </r>
    <r>
      <rPr>
        <sz val="10"/>
        <rFont val="맑은 고딕"/>
        <family val="0"/>
        <charset val="1"/>
      </rPr>
      <t xml:space="preserve">(EU </t>
    </r>
    <r>
      <rPr>
        <sz val="10"/>
        <rFont val="맑은 고딕"/>
        <family val="2"/>
      </rPr>
      <t xml:space="preserve">참고</t>
    </r>
    <r>
      <rPr>
        <sz val="10"/>
        <rFont val="맑은 고딕"/>
        <family val="0"/>
        <charset val="1"/>
      </rPr>
      <t xml:space="preserve">)</t>
    </r>
  </si>
  <si>
    <r>
      <rPr>
        <sz val="10"/>
        <color rgb="FF0000FF"/>
        <rFont val="맑은 고딕"/>
        <family val="0"/>
        <charset val="1"/>
      </rPr>
      <t xml:space="preserve">2 mg/kg </t>
    </r>
    <r>
      <rPr>
        <sz val="10"/>
        <color rgb="FF0000FF"/>
        <rFont val="맑은 고딕"/>
        <family val="2"/>
      </rPr>
      <t xml:space="preserve">이하</t>
    </r>
  </si>
  <si>
    <r>
      <rPr>
        <sz val="10"/>
        <rFont val="맑은 고딕"/>
        <family val="0"/>
        <charset val="1"/>
      </rPr>
      <t xml:space="preserve">EU REACH </t>
    </r>
    <r>
      <rPr>
        <sz val="10"/>
        <rFont val="맑은 고딕"/>
        <family val="2"/>
      </rPr>
      <t xml:space="preserve">부속서 </t>
    </r>
    <r>
      <rPr>
        <sz val="10"/>
        <rFont val="맑은 고딕"/>
        <family val="0"/>
        <charset val="1"/>
      </rPr>
      <t xml:space="preserve">XVII 47</t>
    </r>
    <r>
      <rPr>
        <sz val="10"/>
        <rFont val="맑은 고딕"/>
        <family val="2"/>
      </rPr>
      <t xml:space="preserve">항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시험</t>
    </r>
    <r>
      <rPr>
        <sz val="10"/>
        <rFont val="맑은 고딕"/>
        <family val="0"/>
        <charset val="1"/>
      </rPr>
      <t xml:space="preserve">: EN 196-10)</t>
    </r>
  </si>
  <si>
    <t xml:space="preserve">시험법이 달라 국내 수치와 직접 비교 불가</t>
  </si>
  <si>
    <r>
      <rPr>
        <sz val="10"/>
        <color rgb="FF5F6B73"/>
        <rFont val="맑은 고딕"/>
        <family val="2"/>
      </rPr>
      <t xml:space="preserve">출처</t>
    </r>
    <r>
      <rPr>
        <sz val="10"/>
        <color rgb="FF5F6B73"/>
        <rFont val="맑은 고딕"/>
        <family val="0"/>
        <charset val="1"/>
      </rPr>
      <t xml:space="preserve">: e</t>
    </r>
    <r>
      <rPr>
        <sz val="10"/>
        <color rgb="FF5F6B73"/>
        <rFont val="맑은 고딕"/>
        <family val="2"/>
      </rPr>
      <t xml:space="preserve">나라표준인증 </t>
    </r>
    <r>
      <rPr>
        <sz val="10"/>
        <color rgb="FF5F6B73"/>
        <rFont val="맑은 고딕"/>
        <family val="0"/>
        <charset val="1"/>
      </rPr>
      <t xml:space="preserve">KS L 5201 https://standard.go.kr/KSCI/standardIntro/getStandardSearchView.do?ksNo=KSL5201</t>
    </r>
  </si>
  <si>
    <r>
      <rPr>
        <sz val="10"/>
        <color rgb="FF5F6B73"/>
        <rFont val="맑은 고딕"/>
        <family val="2"/>
      </rPr>
      <t xml:space="preserve">출처</t>
    </r>
    <r>
      <rPr>
        <sz val="10"/>
        <color rgb="FF5F6B73"/>
        <rFont val="맑은 고딕"/>
        <family val="0"/>
        <charset val="1"/>
      </rPr>
      <t xml:space="preserve">: </t>
    </r>
    <r>
      <rPr>
        <sz val="10"/>
        <color rgb="FF5F6B73"/>
        <rFont val="맑은 고딕"/>
        <family val="2"/>
      </rPr>
      <t xml:space="preserve">한국시멘트협회 </t>
    </r>
    <r>
      <rPr>
        <sz val="10"/>
        <color rgb="FF5F6B73"/>
        <rFont val="맑은 고딕"/>
        <family val="0"/>
        <charset val="1"/>
      </rPr>
      <t xml:space="preserve">KS </t>
    </r>
    <r>
      <rPr>
        <sz val="10"/>
        <color rgb="FF5F6B73"/>
        <rFont val="맑은 고딕"/>
        <family val="2"/>
      </rPr>
      <t xml:space="preserve">규격 요약 </t>
    </r>
    <r>
      <rPr>
        <sz val="10"/>
        <color rgb="FF5F6B73"/>
        <rFont val="맑은 고딕"/>
        <family val="0"/>
        <charset val="1"/>
      </rPr>
      <t xml:space="preserve">http://www.cement.or.kr/tech_2014/standard.asp?sm=3_6_1</t>
    </r>
  </si>
  <si>
    <r>
      <rPr>
        <sz val="10"/>
        <color rgb="FF5F6B73"/>
        <rFont val="맑은 고딕"/>
        <family val="0"/>
        <charset val="1"/>
      </rPr>
      <t xml:space="preserve">※ 2</t>
    </r>
    <r>
      <rPr>
        <sz val="10"/>
        <color rgb="FF5F6B73"/>
        <rFont val="맑은 고딕"/>
        <family val="2"/>
      </rPr>
      <t xml:space="preserve">종</t>
    </r>
    <r>
      <rPr>
        <sz val="10"/>
        <color rgb="FF5F6B73"/>
        <rFont val="맑은 고딕"/>
        <family val="0"/>
        <charset val="1"/>
      </rPr>
      <t xml:space="preserve">(</t>
    </r>
    <r>
      <rPr>
        <sz val="10"/>
        <color rgb="FF5F6B73"/>
        <rFont val="맑은 고딕"/>
        <family val="2"/>
      </rPr>
      <t xml:space="preserve">중용열</t>
    </r>
    <r>
      <rPr>
        <sz val="10"/>
        <color rgb="FF5F6B73"/>
        <rFont val="맑은 고딕"/>
        <family val="0"/>
        <charset val="1"/>
      </rPr>
      <t xml:space="preserve">)·4</t>
    </r>
    <r>
      <rPr>
        <sz val="10"/>
        <color rgb="FF5F6B73"/>
        <rFont val="맑은 고딕"/>
        <family val="2"/>
      </rPr>
      <t xml:space="preserve">종</t>
    </r>
    <r>
      <rPr>
        <sz val="10"/>
        <color rgb="FF5F6B73"/>
        <rFont val="맑은 고딕"/>
        <family val="0"/>
        <charset val="1"/>
      </rPr>
      <t xml:space="preserve">(</t>
    </r>
    <r>
      <rPr>
        <sz val="10"/>
        <color rgb="FF5F6B73"/>
        <rFont val="맑은 고딕"/>
        <family val="2"/>
      </rPr>
      <t xml:space="preserve">저열</t>
    </r>
    <r>
      <rPr>
        <sz val="10"/>
        <color rgb="FF5F6B73"/>
        <rFont val="맑은 고딕"/>
        <family val="0"/>
        <charset val="1"/>
      </rPr>
      <t xml:space="preserve">)·5</t>
    </r>
    <r>
      <rPr>
        <sz val="10"/>
        <color rgb="FF5F6B73"/>
        <rFont val="맑은 고딕"/>
        <family val="2"/>
      </rPr>
      <t xml:space="preserve">종</t>
    </r>
    <r>
      <rPr>
        <sz val="10"/>
        <color rgb="FF5F6B73"/>
        <rFont val="맑은 고딕"/>
        <family val="0"/>
        <charset val="1"/>
      </rPr>
      <t xml:space="preserve">(</t>
    </r>
    <r>
      <rPr>
        <sz val="10"/>
        <color rgb="FF5F6B73"/>
        <rFont val="맑은 고딕"/>
        <family val="2"/>
      </rPr>
      <t xml:space="preserve">내황산염</t>
    </r>
    <r>
      <rPr>
        <sz val="10"/>
        <color rgb="FF5F6B73"/>
        <rFont val="맑은 고딕"/>
        <family val="0"/>
        <charset val="1"/>
      </rPr>
      <t xml:space="preserve">) </t>
    </r>
    <r>
      <rPr>
        <sz val="10"/>
        <color rgb="FF5F6B73"/>
        <rFont val="맑은 고딕"/>
        <family val="2"/>
      </rPr>
      <t xml:space="preserve">기준은 원문 확인 후 추가</t>
    </r>
    <r>
      <rPr>
        <sz val="10"/>
        <color rgb="FF5F6B73"/>
        <rFont val="맑은 고딕"/>
        <family val="0"/>
        <charset val="1"/>
      </rPr>
      <t xml:space="preserve">. KS</t>
    </r>
    <r>
      <rPr>
        <sz val="10"/>
        <color rgb="FF5F6B73"/>
        <rFont val="맑은 고딕"/>
        <family val="2"/>
      </rPr>
      <t xml:space="preserve">는 개정될 수 있으므로 연 </t>
    </r>
    <r>
      <rPr>
        <sz val="10"/>
        <color rgb="FF5F6B73"/>
        <rFont val="맑은 고딕"/>
        <family val="0"/>
        <charset val="1"/>
      </rPr>
      <t xml:space="preserve">1</t>
    </r>
    <r>
      <rPr>
        <sz val="10"/>
        <color rgb="FF5F6B73"/>
        <rFont val="맑은 고딕"/>
        <family val="2"/>
      </rPr>
      <t xml:space="preserve">회 최신판 대조 권장</t>
    </r>
    <r>
      <rPr>
        <sz val="10"/>
        <color rgb="FF5F6B73"/>
        <rFont val="맑은 고딕"/>
        <family val="0"/>
        <charset val="1"/>
      </rPr>
      <t xml:space="preserve">.</t>
    </r>
  </si>
  <si>
    <t xml:space="preserve">단계</t>
  </si>
  <si>
    <r>
      <rPr>
        <b val="true"/>
        <sz val="10"/>
        <color rgb="FFFFFFFF"/>
        <rFont val="맑은 고딕"/>
        <family val="2"/>
      </rPr>
      <t xml:space="preserve">기간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맑은 고딕"/>
        <family val="2"/>
      </rPr>
      <t xml:space="preserve">추정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</si>
  <si>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주요 내용</t>
  </si>
  <si>
    <t xml:space="preserve">산출물</t>
  </si>
  <si>
    <r>
      <rPr>
        <b val="true"/>
        <sz val="10"/>
        <color rgb="FFFFFFFF"/>
        <rFont val="맑은 고딕"/>
        <family val="2"/>
      </rPr>
      <t xml:space="preserve">필요 자원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맑은 고딕"/>
        <family val="2"/>
      </rPr>
      <t xml:space="preserve">추정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</si>
  <si>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상태</t>
  </si>
  <si>
    <r>
      <rPr>
        <sz val="10"/>
        <rFont val="맑은 고딕"/>
        <family val="0"/>
        <charset val="1"/>
      </rPr>
      <t xml:space="preserve">1</t>
    </r>
    <r>
      <rPr>
        <sz val="10"/>
        <rFont val="맑은 고딕"/>
        <family val="2"/>
      </rPr>
      <t xml:space="preserve">단계 </t>
    </r>
    <r>
      <rPr>
        <sz val="10"/>
        <rFont val="맑은 고딕"/>
        <family val="0"/>
        <charset val="1"/>
      </rPr>
      <t xml:space="preserve">MVP</t>
    </r>
  </si>
  <si>
    <t xml:space="preserve">완료</t>
  </si>
  <si>
    <r>
      <rPr>
        <sz val="10"/>
        <rFont val="맑은 고딕"/>
        <family val="2"/>
      </rPr>
      <t xml:space="preserve">모니터링</t>
    </r>
    <r>
      <rPr>
        <sz val="10"/>
        <rFont val="맑은 고딕"/>
        <family val="0"/>
        <charset val="1"/>
      </rPr>
      <t xml:space="preserve">·3</t>
    </r>
    <r>
      <rPr>
        <sz val="10"/>
        <rFont val="맑은 고딕"/>
        <family val="2"/>
      </rPr>
      <t xml:space="preserve">단계 기준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알림</t>
    </r>
    <r>
      <rPr>
        <sz val="10"/>
        <rFont val="맑은 고딕"/>
        <family val="0"/>
        <charset val="1"/>
      </rPr>
      <t xml:space="preserve">·5</t>
    </r>
    <r>
      <rPr>
        <sz val="10"/>
        <rFont val="맑은 고딕"/>
        <family val="2"/>
      </rPr>
      <t xml:space="preserve">축 원인진단</t>
    </r>
    <r>
      <rPr>
        <sz val="10"/>
        <rFont val="맑은 고딕"/>
        <family val="0"/>
        <charset val="1"/>
      </rPr>
      <t xml:space="preserve">·28</t>
    </r>
    <r>
      <rPr>
        <sz val="10"/>
        <rFont val="맑은 고딕"/>
        <family val="2"/>
      </rPr>
      <t xml:space="preserve">일 예측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보고서</t>
    </r>
    <r>
      <rPr>
        <sz val="10"/>
        <rFont val="맑은 고딕"/>
        <family val="0"/>
        <charset val="1"/>
      </rPr>
      <t xml:space="preserve">(PPT/</t>
    </r>
    <r>
      <rPr>
        <sz val="10"/>
        <rFont val="맑은 고딕"/>
        <family val="2"/>
      </rPr>
      <t xml:space="preserve">엑셀</t>
    </r>
    <r>
      <rPr>
        <sz val="10"/>
        <rFont val="맑은 고딕"/>
        <family val="0"/>
        <charset val="1"/>
      </rPr>
      <t xml:space="preserve">)·</t>
    </r>
    <r>
      <rPr>
        <sz val="10"/>
        <rFont val="맑은 고딕"/>
        <family val="2"/>
      </rPr>
      <t xml:space="preserve">엑셀 업로드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데모 데이터</t>
    </r>
  </si>
  <si>
    <r>
      <rPr>
        <sz val="10"/>
        <rFont val="맑은 고딕"/>
        <family val="0"/>
        <charset val="1"/>
      </rPr>
      <t xml:space="preserve">Streamlit </t>
    </r>
    <r>
      <rPr>
        <sz val="10"/>
        <rFont val="맑은 고딕"/>
        <family val="2"/>
      </rPr>
      <t xml:space="preserve">시스템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정의서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구축 계획서</t>
    </r>
  </si>
  <si>
    <r>
      <rPr>
        <sz val="10"/>
        <rFont val="맑은 고딕"/>
        <family val="2"/>
      </rPr>
      <t xml:space="preserve">품질 담당 </t>
    </r>
    <r>
      <rPr>
        <sz val="10"/>
        <rFont val="맑은 고딕"/>
        <family val="0"/>
        <charset val="1"/>
      </rPr>
      <t xml:space="preserve">1</t>
    </r>
    <r>
      <rPr>
        <sz val="10"/>
        <rFont val="맑은 고딕"/>
        <family val="2"/>
      </rPr>
      <t xml:space="preserve">명 </t>
    </r>
    <r>
      <rPr>
        <sz val="10"/>
        <rFont val="맑은 고딕"/>
        <family val="0"/>
        <charset val="1"/>
      </rPr>
      <t xml:space="preserve">+ </t>
    </r>
    <r>
      <rPr>
        <sz val="10"/>
        <rFont val="맑은 고딕"/>
        <family val="2"/>
      </rPr>
      <t xml:space="preserve">사내 </t>
    </r>
    <r>
      <rPr>
        <sz val="10"/>
        <rFont val="맑은 고딕"/>
        <family val="0"/>
        <charset val="1"/>
      </rPr>
      <t xml:space="preserve">PC 1</t>
    </r>
    <r>
      <rPr>
        <sz val="10"/>
        <rFont val="맑은 고딕"/>
        <family val="2"/>
      </rPr>
      <t xml:space="preserve">대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</si>
  <si>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맑은 고딕"/>
        <family val="2"/>
      </rPr>
      <t xml:space="preserve">단계 확장 기능</t>
    </r>
  </si>
  <si>
    <r>
      <rPr>
        <sz val="10"/>
        <rFont val="맑은 고딕"/>
        <family val="2"/>
      </rPr>
      <t xml:space="preserve">원료 배합 최적화</t>
    </r>
    <r>
      <rPr>
        <sz val="10"/>
        <rFont val="맑은 고딕"/>
        <family val="0"/>
        <charset val="1"/>
      </rPr>
      <t xml:space="preserve">(LSF·SM·IM·C₃S, </t>
    </r>
    <r>
      <rPr>
        <sz val="10"/>
        <rFont val="맑은 고딕"/>
        <family val="2"/>
      </rPr>
      <t xml:space="preserve">원가 최소</t>
    </r>
    <r>
      <rPr>
        <sz val="10"/>
        <rFont val="맑은 고딕"/>
        <family val="0"/>
        <charset val="1"/>
      </rPr>
      <t xml:space="preserve">)·</t>
    </r>
    <r>
      <rPr>
        <sz val="10"/>
        <rFont val="맑은 고딕"/>
        <family val="2"/>
      </rPr>
      <t xml:space="preserve">클링커 계수</t>
    </r>
    <r>
      <rPr>
        <sz val="10"/>
        <rFont val="맑은 고딕"/>
        <family val="0"/>
        <charset val="1"/>
      </rPr>
      <t xml:space="preserve">·XRD </t>
    </r>
    <r>
      <rPr>
        <sz val="10"/>
        <rFont val="맑은 고딕"/>
        <family val="2"/>
      </rPr>
      <t xml:space="preserve">광물 예측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재령별 강도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응결 예측과 제어 솔루션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시멘트 </t>
    </r>
    <r>
      <rPr>
        <sz val="10"/>
        <rFont val="맑은 고딕"/>
        <family val="0"/>
        <charset val="1"/>
      </rPr>
      <t xml:space="preserve">6</t>
    </r>
    <r>
      <rPr>
        <sz val="10"/>
        <rFont val="맑은 고딕"/>
        <family val="2"/>
      </rPr>
      <t xml:space="preserve">가크롬 물질수지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환원제 투입량</t>
    </r>
    <r>
      <rPr>
        <sz val="10"/>
        <rFont val="맑은 고딕"/>
        <family val="0"/>
        <charset val="1"/>
      </rPr>
      <t xml:space="preserve">, LIMS </t>
    </r>
    <r>
      <rPr>
        <sz val="10"/>
        <rFont val="맑은 고딕"/>
        <family val="2"/>
      </rPr>
      <t xml:space="preserve">연동</t>
    </r>
    <r>
      <rPr>
        <sz val="10"/>
        <rFont val="맑은 고딕"/>
        <family val="0"/>
        <charset val="1"/>
      </rPr>
      <t xml:space="preserve">(SQL·REST·</t>
    </r>
    <r>
      <rPr>
        <sz val="10"/>
        <rFont val="맑은 고딕"/>
        <family val="2"/>
      </rPr>
      <t xml:space="preserve">파일</t>
    </r>
    <r>
      <rPr>
        <sz val="10"/>
        <rFont val="맑은 고딕"/>
        <family val="0"/>
        <charset val="1"/>
      </rPr>
      <t xml:space="preserve">), AI(Claude) </t>
    </r>
    <r>
      <rPr>
        <sz val="10"/>
        <rFont val="맑은 고딕"/>
        <family val="2"/>
      </rPr>
      <t xml:space="preserve">솔루션 보고서</t>
    </r>
  </si>
  <si>
    <r>
      <rPr>
        <sz val="10"/>
        <rFont val="맑은 고딕"/>
        <family val="2"/>
      </rPr>
      <t xml:space="preserve">배합 설계서</t>
    </r>
    <r>
      <rPr>
        <sz val="10"/>
        <rFont val="맑은 고딕"/>
        <family val="0"/>
        <charset val="1"/>
      </rPr>
      <t xml:space="preserve">·6</t>
    </r>
    <r>
      <rPr>
        <sz val="10"/>
        <rFont val="맑은 고딕"/>
        <family val="2"/>
      </rPr>
      <t xml:space="preserve">가크롬 평가표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엑셀</t>
    </r>
    <r>
      <rPr>
        <sz val="10"/>
        <rFont val="맑은 고딕"/>
        <family val="0"/>
        <charset val="1"/>
      </rPr>
      <t xml:space="preserve">), </t>
    </r>
    <r>
      <rPr>
        <sz val="10"/>
        <rFont val="맑은 고딕"/>
        <family val="2"/>
      </rPr>
      <t xml:space="preserve">기능 확장 보고</t>
    </r>
    <r>
      <rPr>
        <sz val="10"/>
        <rFont val="맑은 고딕"/>
        <family val="0"/>
        <charset val="1"/>
      </rPr>
      <t xml:space="preserve">(PPT)</t>
    </r>
  </si>
  <si>
    <r>
      <rPr>
        <sz val="10"/>
        <rFont val="맑은 고딕"/>
        <family val="2"/>
      </rPr>
      <t xml:space="preserve">품질 담당 </t>
    </r>
    <r>
      <rPr>
        <sz val="10"/>
        <rFont val="맑은 고딕"/>
        <family val="0"/>
        <charset val="1"/>
      </rPr>
      <t xml:space="preserve">1</t>
    </r>
    <r>
      <rPr>
        <sz val="10"/>
        <rFont val="맑은 고딕"/>
        <family val="2"/>
      </rPr>
      <t xml:space="preserve">명</t>
    </r>
  </si>
  <si>
    <r>
      <rPr>
        <sz val="10"/>
        <rFont val="맑은 고딕"/>
        <family val="2"/>
      </rPr>
      <t xml:space="preserve">개발 완료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실데이터 검증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</si>
  <si>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맑은 고딕"/>
        <family val="2"/>
      </rPr>
      <t xml:space="preserve">단계 실데이터 시범</t>
    </r>
  </si>
  <si>
    <r>
      <rPr>
        <sz val="10"/>
        <rFont val="맑은 고딕"/>
        <family val="2"/>
      </rPr>
      <t xml:space="preserve">약 </t>
    </r>
    <r>
      <rPr>
        <sz val="10"/>
        <rFont val="맑은 고딕"/>
        <family val="0"/>
        <charset val="1"/>
      </rPr>
      <t xml:space="preserve">2~3</t>
    </r>
    <r>
      <rPr>
        <sz val="10"/>
        <rFont val="맑은 고딕"/>
        <family val="2"/>
      </rPr>
      <t xml:space="preserve">개월</t>
    </r>
  </si>
  <si>
    <r>
      <rPr>
        <sz val="10"/>
        <rFont val="맑은 고딕"/>
        <family val="0"/>
        <charset val="1"/>
      </rPr>
      <t xml:space="preserve">LIMS </t>
    </r>
    <r>
      <rPr>
        <sz val="10"/>
        <rFont val="맑은 고딕"/>
        <family val="2"/>
      </rPr>
      <t xml:space="preserve">실연결</t>
    </r>
    <r>
      <rPr>
        <sz val="10"/>
        <rFont val="맑은 고딕"/>
        <family val="0"/>
        <charset val="1"/>
      </rPr>
      <t xml:space="preserve">(</t>
    </r>
    <r>
      <rPr>
        <sz val="10"/>
        <rFont val="맑은 고딕"/>
        <family val="2"/>
      </rPr>
      <t xml:space="preserve">읽기 전용 계정</t>
    </r>
    <r>
      <rPr>
        <sz val="10"/>
        <rFont val="맑은 고딕"/>
        <family val="0"/>
        <charset val="1"/>
      </rPr>
      <t xml:space="preserve">)·</t>
    </r>
    <r>
      <rPr>
        <sz val="10"/>
        <rFont val="맑은 고딕"/>
        <family val="2"/>
      </rPr>
      <t xml:space="preserve">실데이터 </t>
    </r>
    <r>
      <rPr>
        <sz val="10"/>
        <rFont val="맑은 고딕"/>
        <family val="0"/>
        <charset val="1"/>
      </rPr>
      <t xml:space="preserve">3</t>
    </r>
    <r>
      <rPr>
        <sz val="10"/>
        <rFont val="맑은 고딕"/>
        <family val="2"/>
      </rPr>
      <t xml:space="preserve">개월 적재 → 사내 기준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예측 모델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킬른 전환율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환원제 과잉계수 보정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알림 채널 연결</t>
    </r>
    <r>
      <rPr>
        <sz val="10"/>
        <rFont val="맑은 고딕"/>
        <family val="0"/>
        <charset val="1"/>
      </rPr>
      <t xml:space="preserve">, AI </t>
    </r>
    <r>
      <rPr>
        <sz val="10"/>
        <rFont val="맑은 고딕"/>
        <family val="2"/>
      </rPr>
      <t xml:space="preserve">보고서 보안 승인 후 시범 사용</t>
    </r>
  </si>
  <si>
    <r>
      <rPr>
        <sz val="10"/>
        <rFont val="맑은 고딕"/>
        <family val="2"/>
      </rPr>
      <t xml:space="preserve">확정 관리기준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시범 운영 보고</t>
    </r>
  </si>
  <si>
    <r>
      <rPr>
        <sz val="10"/>
        <rFont val="맑은 고딕"/>
        <family val="0"/>
        <charset val="1"/>
      </rPr>
      <t xml:space="preserve">IT·LIMS </t>
    </r>
    <r>
      <rPr>
        <sz val="10"/>
        <rFont val="맑은 고딕"/>
        <family val="2"/>
      </rPr>
      <t xml:space="preserve">담당 협조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정보보안 승인</t>
    </r>
  </si>
  <si>
    <t xml:space="preserve">예정</t>
  </si>
  <si>
    <r>
      <rPr>
        <sz val="10"/>
        <rFont val="맑은 고딕"/>
        <family val="0"/>
        <charset val="1"/>
      </rPr>
      <t xml:space="preserve">4</t>
    </r>
    <r>
      <rPr>
        <sz val="10"/>
        <rFont val="맑은 고딕"/>
        <family val="2"/>
      </rPr>
      <t xml:space="preserve">단계 고도화</t>
    </r>
  </si>
  <si>
    <r>
      <rPr>
        <sz val="10"/>
        <rFont val="맑은 고딕"/>
        <family val="2"/>
      </rPr>
      <t xml:space="preserve">약 </t>
    </r>
    <r>
      <rPr>
        <sz val="10"/>
        <rFont val="맑은 고딕"/>
        <family val="0"/>
        <charset val="1"/>
      </rPr>
      <t xml:space="preserve">3~6</t>
    </r>
    <r>
      <rPr>
        <sz val="10"/>
        <rFont val="맑은 고딕"/>
        <family val="2"/>
      </rPr>
      <t xml:space="preserve">개월</t>
    </r>
  </si>
  <si>
    <r>
      <rPr>
        <sz val="10"/>
        <rFont val="맑은 고딕"/>
        <family val="2"/>
      </rPr>
      <t xml:space="preserve">조치 이력 기반 지식베이스 학습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입도분포</t>
    </r>
    <r>
      <rPr>
        <sz val="10"/>
        <rFont val="맑은 고딕"/>
        <family val="0"/>
        <charset val="1"/>
      </rPr>
      <t xml:space="preserve">(PSD) </t>
    </r>
    <r>
      <rPr>
        <sz val="10"/>
        <rFont val="맑은 고딕"/>
        <family val="2"/>
      </rPr>
      <t xml:space="preserve">반영 강도 모델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원료 품위 예측 연계 배합 자동 보정</t>
    </r>
  </si>
  <si>
    <r>
      <rPr>
        <sz val="10"/>
        <rFont val="맑은 고딕"/>
        <family val="2"/>
      </rPr>
      <t xml:space="preserve">고도화 기능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효과 분석</t>
    </r>
  </si>
  <si>
    <r>
      <rPr>
        <sz val="10"/>
        <rFont val="맑은 고딕"/>
        <family val="2"/>
      </rPr>
      <t xml:space="preserve">품질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생산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설비 협업</t>
    </r>
  </si>
  <si>
    <t xml:space="preserve">계획</t>
  </si>
  <si>
    <r>
      <rPr>
        <sz val="10"/>
        <rFont val="맑은 고딕"/>
        <family val="0"/>
        <charset val="1"/>
      </rPr>
      <t xml:space="preserve">5</t>
    </r>
    <r>
      <rPr>
        <sz val="10"/>
        <rFont val="맑은 고딕"/>
        <family val="2"/>
      </rPr>
      <t xml:space="preserve">단계 확산</t>
    </r>
  </si>
  <si>
    <t xml:space="preserve">추후</t>
  </si>
  <si>
    <r>
      <rPr>
        <sz val="10"/>
        <rFont val="맑은 고딕"/>
        <family val="0"/>
        <charset val="1"/>
      </rPr>
      <t xml:space="preserve">DB/OPC-UA </t>
    </r>
    <r>
      <rPr>
        <sz val="10"/>
        <rFont val="맑은 고딕"/>
        <family val="2"/>
      </rPr>
      <t xml:space="preserve">실시간 연계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모바일 알림</t>
    </r>
    <r>
      <rPr>
        <sz val="10"/>
        <rFont val="맑은 고딕"/>
        <family val="0"/>
        <charset val="1"/>
      </rPr>
      <t xml:space="preserve">, </t>
    </r>
    <r>
      <rPr>
        <sz val="10"/>
        <rFont val="맑은 고딕"/>
        <family val="2"/>
      </rPr>
      <t xml:space="preserve">타 공정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타 공장 확산</t>
    </r>
  </si>
  <si>
    <r>
      <rPr>
        <sz val="10"/>
        <rFont val="맑은 고딕"/>
        <family val="2"/>
      </rPr>
      <t xml:space="preserve">운영 표준</t>
    </r>
    <r>
      <rPr>
        <sz val="10"/>
        <rFont val="맑은 고딕"/>
        <family val="0"/>
        <charset val="1"/>
      </rPr>
      <t xml:space="preserve">·</t>
    </r>
    <r>
      <rPr>
        <sz val="10"/>
        <rFont val="맑은 고딕"/>
        <family val="2"/>
      </rPr>
      <t xml:space="preserve">교육 자료</t>
    </r>
  </si>
  <si>
    <r>
      <rPr>
        <sz val="10"/>
        <rFont val="맑은 고딕"/>
        <family val="0"/>
        <charset val="1"/>
      </rPr>
      <t xml:space="preserve">IT </t>
    </r>
    <r>
      <rPr>
        <sz val="10"/>
        <rFont val="맑은 고딕"/>
        <family val="2"/>
      </rPr>
      <t xml:space="preserve">투자 검토</t>
    </r>
  </si>
  <si>
    <r>
      <rPr>
        <sz val="10"/>
        <color rgb="FF5F6B73"/>
        <rFont val="맑은 고딕"/>
        <family val="2"/>
      </rPr>
      <t xml:space="preserve">※ 기간</t>
    </r>
    <r>
      <rPr>
        <sz val="10"/>
        <color rgb="FF5F6B73"/>
        <rFont val="맑은 고딕"/>
        <family val="0"/>
        <charset val="1"/>
      </rPr>
      <t xml:space="preserve">·</t>
    </r>
    <r>
      <rPr>
        <sz val="10"/>
        <color rgb="FF5F6B73"/>
        <rFont val="맑은 고딕"/>
        <family val="2"/>
      </rPr>
      <t xml:space="preserve">자원은 일반적인 시범 구축 경험에 따른 추정치이며</t>
    </r>
    <r>
      <rPr>
        <sz val="10"/>
        <color rgb="FF5F6B73"/>
        <rFont val="맑은 고딕"/>
        <family val="0"/>
        <charset val="1"/>
      </rPr>
      <t xml:space="preserve">, </t>
    </r>
    <r>
      <rPr>
        <sz val="10"/>
        <color rgb="FF5F6B73"/>
        <rFont val="맑은 고딕"/>
        <family val="2"/>
      </rPr>
      <t xml:space="preserve">데이터 연계 범위에 따라 달라짐</t>
    </r>
    <r>
      <rPr>
        <sz val="10"/>
        <color rgb="FF5F6B73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</si>
</sst>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맑은 고딕"/>
      <family val="2"/>
    </font>
    <font>
      <b val="true"/>
      <sz val="16"/>
      <name val="맑은 고딕"/>
      <family val="0"/>
      <charset val="1"/>
    </font>
    <font>
      <sz val="10"/>
      <color rgb="FF5F6B73"/>
      <name val="맑은 고딕"/>
      <family val="2"/>
    </font>
    <font>
      <sz val="10"/>
      <color rgb="FF5F6B73"/>
      <name val="맑은 고딕"/>
      <family val="0"/>
      <charset val="1"/>
    </font>
    <font>
      <b val="true"/>
      <sz val="10"/>
      <name val="맑은 고딕"/>
      <family val="2"/>
    </font>
    <font>
      <sz val="10"/>
      <name val="맑은 고딕"/>
      <family val="0"/>
      <charset val="1"/>
    </font>
    <font>
      <sz val="10"/>
      <name val="맑은 고딕"/>
      <family val="2"/>
    </font>
    <font>
      <b val="true"/>
      <sz val="10"/>
      <name val="맑은 고딕"/>
      <family val="0"/>
      <charset val="1"/>
    </font>
    <font>
      <sz val="10"/>
      <color rgb="FF0000FF"/>
      <name val="맑은 고딕"/>
      <family val="0"/>
      <charset val="1"/>
    </font>
    <font>
      <sz val="10"/>
      <color rgb="FF0000FF"/>
      <name val="맑은 고딕"/>
      <family val="2"/>
    </font>
    <font>
      <b val="true"/>
      <sz val="13"/>
      <name val="맑은 고딕"/>
      <family val="2"/>
    </font>
    <font>
      <b val="true"/>
      <sz val="13"/>
      <name val="맑은 고딕"/>
      <family val="0"/>
      <charset val="1"/>
    </font>
    <font>
      <b val="true"/>
      <sz val="10"/>
      <color rgb="FFFFFFFF"/>
      <name val="맑은 고딕"/>
      <family val="2"/>
    </font>
    <font>
      <b val="true"/>
      <sz val="10"/>
      <color rgb="FFFFFFFF"/>
      <name val="맑은 고딕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CEFF1"/>
        <bgColor rgb="FFFFF3E0"/>
      </patternFill>
    </fill>
    <fill>
      <patternFill patternType="solid">
        <fgColor rgb="FF37474F"/>
        <bgColor rgb="FF333399"/>
      </patternFill>
    </fill>
    <fill>
      <patternFill patternType="solid">
        <fgColor rgb="FFFFF3E0"/>
        <bgColor rgb="FFECEF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37474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3E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ECEFF1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E0"/>
      <rgbColor rgb="FFECEFF1"/>
      <rgbColor rgb="FF660066"/>
      <rgbColor rgb="FFFF8080"/>
      <rgbColor rgb="FF0066CC"/>
      <rgbColor rgb="FFCF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6B73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747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0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54" hidden="false" customHeight="true" outlineLevel="0" collapsed="false">
      <c r="A4" s="3" t="s">
        <v>2</v>
      </c>
      <c r="B4" s="4" t="s">
        <v>3</v>
      </c>
    </row>
    <row r="5" customFormat="false" ht="37.5" hidden="false" customHeight="true" outlineLevel="0" collapsed="false">
      <c r="A5" s="3" t="s">
        <v>4</v>
      </c>
      <c r="B5" s="4" t="s">
        <v>5</v>
      </c>
    </row>
    <row r="6" customFormat="false" ht="21.75" hidden="false" customHeight="true" outlineLevel="0" collapsed="false">
      <c r="A6" s="3" t="s">
        <v>6</v>
      </c>
      <c r="B6" s="5" t="s">
        <v>7</v>
      </c>
    </row>
    <row r="7" customFormat="false" ht="21.75" hidden="false" customHeight="true" outlineLevel="0" collapsed="false">
      <c r="A7" s="3" t="s">
        <v>8</v>
      </c>
      <c r="B7" s="6" t="s">
        <v>9</v>
      </c>
    </row>
    <row r="8" customFormat="false" ht="21.75" hidden="false" customHeight="true" outlineLevel="0" collapsed="false">
      <c r="A8" s="3" t="s">
        <v>10</v>
      </c>
      <c r="B8" s="7" t="s">
        <v>11</v>
      </c>
    </row>
    <row r="9" customFormat="false" ht="37.5" hidden="false" customHeight="true" outlineLevel="0" collapsed="false">
      <c r="A9" s="3" t="s">
        <v>12</v>
      </c>
      <c r="B9" s="8" t="s">
        <v>13</v>
      </c>
    </row>
    <row r="10" customFormat="false" ht="37.5" hidden="false" customHeight="true" outlineLevel="0" collapsed="false">
      <c r="A10" s="3" t="s">
        <v>14</v>
      </c>
      <c r="B10" s="4" t="s">
        <v>15</v>
      </c>
    </row>
    <row r="11" customFormat="false" ht="37.5" hidden="false" customHeight="true" outlineLevel="0" collapsed="false">
      <c r="A11" s="3" t="s">
        <v>16</v>
      </c>
      <c r="B11" s="8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4" min="3" style="0" width="13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7" min="7" style="0" width="12"/>
  </cols>
  <sheetData>
    <row r="1" customFormat="false" ht="17.15" hidden="false" customHeight="false" outlineLevel="0" collapsed="false">
      <c r="A1" s="9" t="s">
        <v>18</v>
      </c>
    </row>
    <row r="3" customFormat="false" ht="30" hidden="false" customHeight="true" outlineLevel="0" collapsed="false">
      <c r="A3" s="10" t="s">
        <v>19</v>
      </c>
      <c r="B3" s="10" t="s">
        <v>20</v>
      </c>
      <c r="C3" s="11" t="s">
        <v>21</v>
      </c>
      <c r="D3" s="10" t="s">
        <v>22</v>
      </c>
      <c r="E3" s="11" t="s">
        <v>23</v>
      </c>
      <c r="F3" s="10" t="s">
        <v>24</v>
      </c>
      <c r="G3" s="10" t="s">
        <v>25</v>
      </c>
    </row>
    <row r="4" customFormat="false" ht="15" hidden="false" customHeight="false" outlineLevel="0" collapsed="false">
      <c r="A4" s="3" t="s">
        <v>26</v>
      </c>
      <c r="B4" s="12" t="n">
        <f aca="false">COUNTIF(관리항목!$B$2:$B$81,A4)</f>
        <v>14</v>
      </c>
      <c r="C4" s="12" t="n">
        <f aca="false">COUNTIFS(관리항목!$B$2:$B$81,A4,관리항목!$J$2:$J$81,"&lt;&gt;")+COUNTIFS(관리항목!$B$2:$B$81,A4,관리항목!$J$2:$J$81,"",관리항목!$K$2:$K$81,"&lt;&gt;")</f>
        <v>0</v>
      </c>
      <c r="D4" s="12" t="n">
        <f aca="false">COUNTIFS(관리항목!$B$2:$B$81,A4,관리항목!$U$2:$U$81,"●")</f>
        <v>3</v>
      </c>
      <c r="E4" s="12" t="n">
        <f aca="false">COUNTIFS(관리항목!$B$2:$B$81,A4,관리항목!$T$2:$T$81,"&lt;&gt;-")</f>
        <v>6</v>
      </c>
      <c r="F4" s="12" t="n">
        <f aca="false">SUMPRODUCT((관리항목!$B$2:$B$81=A4)*((LEN(관리항목!$Q$2:$Q$81)+LEN(관리항목!$R$2:$R$81)+LEN(관리항목!$S$2:$S$81))&gt;0))</f>
        <v>0</v>
      </c>
      <c r="G4" s="13" t="n">
        <f aca="false">IFERROR(F4/B4,0)</f>
        <v>0</v>
      </c>
    </row>
    <row r="5" customFormat="false" ht="15" hidden="false" customHeight="false" outlineLevel="0" collapsed="false">
      <c r="A5" s="3" t="s">
        <v>27</v>
      </c>
      <c r="B5" s="12" t="n">
        <f aca="false">COUNTIF(관리항목!$B$2:$B$81,A5)</f>
        <v>8</v>
      </c>
      <c r="C5" s="12" t="n">
        <f aca="false">COUNTIFS(관리항목!$B$2:$B$81,A5,관리항목!$J$2:$J$81,"&lt;&gt;")+COUNTIFS(관리항목!$B$2:$B$81,A5,관리항목!$J$2:$J$81,"",관리항목!$K$2:$K$81,"&lt;&gt;")</f>
        <v>0</v>
      </c>
      <c r="D5" s="12" t="n">
        <f aca="false">COUNTIFS(관리항목!$B$2:$B$81,A5,관리항목!$U$2:$U$81,"●")</f>
        <v>2</v>
      </c>
      <c r="E5" s="12" t="n">
        <f aca="false">COUNTIFS(관리항목!$B$2:$B$81,A5,관리항목!$T$2:$T$81,"&lt;&gt;-")</f>
        <v>4</v>
      </c>
      <c r="F5" s="12" t="n">
        <f aca="false">SUMPRODUCT((관리항목!$B$2:$B$81=A5)*((LEN(관리항목!$Q$2:$Q$81)+LEN(관리항목!$R$2:$R$81)+LEN(관리항목!$S$2:$S$81))&gt;0))</f>
        <v>0</v>
      </c>
      <c r="G5" s="13" t="n">
        <f aca="false">IFERROR(F5/B5,0)</f>
        <v>0</v>
      </c>
    </row>
    <row r="6" customFormat="false" ht="15" hidden="false" customHeight="false" outlineLevel="0" collapsed="false">
      <c r="A6" s="3" t="s">
        <v>28</v>
      </c>
      <c r="B6" s="12" t="n">
        <f aca="false">COUNTIF(관리항목!$B$2:$B$81,A6)</f>
        <v>27</v>
      </c>
      <c r="C6" s="12" t="n">
        <f aca="false">COUNTIFS(관리항목!$B$2:$B$81,A6,관리항목!$J$2:$J$81,"&lt;&gt;")+COUNTIFS(관리항목!$B$2:$B$81,A6,관리항목!$J$2:$J$81,"",관리항목!$K$2:$K$81,"&lt;&gt;")</f>
        <v>0</v>
      </c>
      <c r="D6" s="12" t="n">
        <f aca="false">COUNTIFS(관리항목!$B$2:$B$81,A6,관리항목!$U$2:$U$81,"●")</f>
        <v>3</v>
      </c>
      <c r="E6" s="12" t="n">
        <f aca="false">COUNTIFS(관리항목!$B$2:$B$81,A6,관리항목!$T$2:$T$81,"&lt;&gt;-")</f>
        <v>17</v>
      </c>
      <c r="F6" s="12" t="n">
        <f aca="false">SUMPRODUCT((관리항목!$B$2:$B$81=A6)*((LEN(관리항목!$Q$2:$Q$81)+LEN(관리항목!$R$2:$R$81)+LEN(관리항목!$S$2:$S$81))&gt;0))</f>
        <v>0</v>
      </c>
      <c r="G6" s="13" t="n">
        <f aca="false">IFERROR(F6/B6,0)</f>
        <v>0</v>
      </c>
    </row>
    <row r="7" customFormat="false" ht="15" hidden="false" customHeight="false" outlineLevel="0" collapsed="false">
      <c r="A7" s="3" t="s">
        <v>29</v>
      </c>
      <c r="B7" s="12" t="n">
        <f aca="false">COUNTIF(관리항목!$B$2:$B$81,A7)</f>
        <v>13</v>
      </c>
      <c r="C7" s="12" t="n">
        <f aca="false">COUNTIFS(관리항목!$B$2:$B$81,A7,관리항목!$J$2:$J$81,"&lt;&gt;")+COUNTIFS(관리항목!$B$2:$B$81,A7,관리항목!$J$2:$J$81,"",관리항목!$K$2:$K$81,"&lt;&gt;")</f>
        <v>7</v>
      </c>
      <c r="D7" s="12" t="n">
        <f aca="false">COUNTIFS(관리항목!$B$2:$B$81,A7,관리항목!$U$2:$U$81,"●")</f>
        <v>4</v>
      </c>
      <c r="E7" s="12" t="n">
        <f aca="false">COUNTIFS(관리항목!$B$2:$B$81,A7,관리항목!$T$2:$T$81,"&lt;&gt;-")</f>
        <v>12</v>
      </c>
      <c r="F7" s="12" t="n">
        <f aca="false">SUMPRODUCT((관리항목!$B$2:$B$81=A7)*((LEN(관리항목!$Q$2:$Q$81)+LEN(관리항목!$R$2:$R$81)+LEN(관리항목!$S$2:$S$81))&gt;0))</f>
        <v>0</v>
      </c>
      <c r="G7" s="13" t="n">
        <f aca="false">IFERROR(F7/B7,0)</f>
        <v>0</v>
      </c>
    </row>
    <row r="8" customFormat="false" ht="15" hidden="false" customHeight="false" outlineLevel="0" collapsed="false">
      <c r="A8" s="3" t="s">
        <v>30</v>
      </c>
      <c r="B8" s="12" t="n">
        <f aca="false">COUNTIF(관리항목!$B$2:$B$81,A8)</f>
        <v>15</v>
      </c>
      <c r="C8" s="12" t="n">
        <f aca="false">COUNTIFS(관리항목!$B$2:$B$81,A8,관리항목!$J$2:$J$81,"&lt;&gt;")+COUNTIFS(관리항목!$B$2:$B$81,A8,관리항목!$J$2:$J$81,"",관리항목!$K$2:$K$81,"&lt;&gt;")</f>
        <v>15</v>
      </c>
      <c r="D8" s="12" t="n">
        <f aca="false">COUNTIFS(관리항목!$B$2:$B$81,A8,관리항목!$U$2:$U$81,"●")</f>
        <v>9</v>
      </c>
      <c r="E8" s="12" t="n">
        <f aca="false">COUNTIFS(관리항목!$B$2:$B$81,A8,관리항목!$T$2:$T$81,"&lt;&gt;-")</f>
        <v>13</v>
      </c>
      <c r="F8" s="12" t="n">
        <f aca="false">SUMPRODUCT((관리항목!$B$2:$B$81=A8)*((LEN(관리항목!$Q$2:$Q$81)+LEN(관리항목!$R$2:$R$81)+LEN(관리항목!$S$2:$S$81))&gt;0))</f>
        <v>0</v>
      </c>
      <c r="G8" s="13" t="n">
        <f aca="false">IFERROR(F8/B8,0)</f>
        <v>0</v>
      </c>
    </row>
    <row r="9" customFormat="false" ht="15" hidden="false" customHeight="false" outlineLevel="0" collapsed="false">
      <c r="A9" s="3" t="s">
        <v>31</v>
      </c>
      <c r="B9" s="12" t="n">
        <f aca="false">COUNTIF(관리항목!$B$2:$B$81,A9)</f>
        <v>3</v>
      </c>
      <c r="C9" s="12" t="n">
        <f aca="false">COUNTIFS(관리항목!$B$2:$B$81,A9,관리항목!$J$2:$J$81,"&lt;&gt;")+COUNTIFS(관리항목!$B$2:$B$81,A9,관리항목!$J$2:$J$81,"",관리항목!$K$2:$K$81,"&lt;&gt;")</f>
        <v>3</v>
      </c>
      <c r="D9" s="12" t="n">
        <f aca="false">COUNTIFS(관리항목!$B$2:$B$81,A9,관리항목!$U$2:$U$81,"●")</f>
        <v>0</v>
      </c>
      <c r="E9" s="12" t="n">
        <f aca="false">COUNTIFS(관리항목!$B$2:$B$81,A9,관리항목!$T$2:$T$81,"&lt;&gt;-")</f>
        <v>0</v>
      </c>
      <c r="F9" s="12" t="n">
        <f aca="false">SUMPRODUCT((관리항목!$B$2:$B$81=A9)*((LEN(관리항목!$Q$2:$Q$81)+LEN(관리항목!$R$2:$R$81)+LEN(관리항목!$S$2:$S$81))&gt;0))</f>
        <v>0</v>
      </c>
      <c r="G9" s="13" t="n">
        <f aca="false">IFERROR(F9/B9,0)</f>
        <v>0</v>
      </c>
    </row>
    <row r="10" customFormat="false" ht="15" hidden="false" customHeight="false" outlineLevel="0" collapsed="false">
      <c r="A10" s="3" t="s">
        <v>32</v>
      </c>
      <c r="B10" s="14" t="n">
        <f aca="false">SUM(B4:B9)</f>
        <v>80</v>
      </c>
      <c r="C10" s="14" t="n">
        <f aca="false">SUM(C4:C9)</f>
        <v>25</v>
      </c>
      <c r="D10" s="14" t="n">
        <f aca="false">SUM(D4:D9)</f>
        <v>21</v>
      </c>
      <c r="E10" s="14" t="n">
        <f aca="false">SUM(E4:E9)</f>
        <v>52</v>
      </c>
      <c r="F10" s="14" t="n">
        <f aca="false">SUM(F4:F9)</f>
        <v>0</v>
      </c>
      <c r="G10" s="15" t="n">
        <f aca="false">IFERROR(F10/B10,0)</f>
        <v>0</v>
      </c>
    </row>
    <row r="12" customFormat="false" ht="15" hidden="false" customHeight="false" outlineLevel="0" collapsed="false">
      <c r="A12" s="16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8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4" min="4" style="0" width="24"/>
    <col collapsed="false" customWidth="true" hidden="false" outlineLevel="0" max="5" min="5" style="0" width="7"/>
    <col collapsed="false" customWidth="true" hidden="false" outlineLevel="0" max="6" min="6" style="0" width="9"/>
    <col collapsed="false" customWidth="true" hidden="false" outlineLevel="0" max="7" min="7" style="0" width="20"/>
    <col collapsed="false" customWidth="true" hidden="false" outlineLevel="0" max="8" min="8" style="0" width="16"/>
    <col collapsed="false" customWidth="true" hidden="false" outlineLevel="0" max="9" min="9" style="0" width="7"/>
    <col collapsed="false" customWidth="true" hidden="false" outlineLevel="0" max="11" min="10" style="0" width="8"/>
    <col collapsed="false" customWidth="true" hidden="false" outlineLevel="0" max="12" min="12" style="0" width="26"/>
    <col collapsed="false" customWidth="true" hidden="false" outlineLevel="0" max="14" min="13" style="0" width="10"/>
    <col collapsed="false" customWidth="true" hidden="false" outlineLevel="0" max="15" min="15" style="0" width="9"/>
    <col collapsed="false" customWidth="true" hidden="false" outlineLevel="0" max="16" min="16" style="0" width="22"/>
    <col collapsed="false" customWidth="true" hidden="false" outlineLevel="0" max="18" min="17" style="0" width="10"/>
    <col collapsed="false" customWidth="true" hidden="false" outlineLevel="0" max="19" min="19" style="0" width="9"/>
    <col collapsed="false" customWidth="true" hidden="false" outlineLevel="0" max="20" min="20" style="0" width="14"/>
    <col collapsed="false" customWidth="true" hidden="false" outlineLevel="0" max="21" min="21" style="0" width="8"/>
    <col collapsed="false" customWidth="true" hidden="false" outlineLevel="0" max="22" min="22" style="0" width="44"/>
  </cols>
  <sheetData>
    <row r="1" customFormat="false" ht="30" hidden="false" customHeight="true" outlineLevel="0" collapsed="false">
      <c r="A1" s="11" t="s">
        <v>34</v>
      </c>
      <c r="B1" s="10" t="s">
        <v>19</v>
      </c>
      <c r="C1" s="10" t="s">
        <v>35</v>
      </c>
      <c r="D1" s="10" t="s">
        <v>36</v>
      </c>
      <c r="E1" s="10" t="s">
        <v>37</v>
      </c>
      <c r="F1" s="10" t="s">
        <v>38</v>
      </c>
      <c r="G1" s="10" t="s">
        <v>39</v>
      </c>
      <c r="H1" s="10" t="s">
        <v>40</v>
      </c>
      <c r="I1" s="10" t="s">
        <v>41</v>
      </c>
      <c r="J1" s="11" t="s">
        <v>42</v>
      </c>
      <c r="K1" s="11" t="s">
        <v>43</v>
      </c>
      <c r="L1" s="11" t="s">
        <v>44</v>
      </c>
      <c r="M1" s="10" t="s">
        <v>45</v>
      </c>
      <c r="N1" s="10" t="s">
        <v>46</v>
      </c>
      <c r="O1" s="10" t="s">
        <v>47</v>
      </c>
      <c r="P1" s="10" t="s">
        <v>48</v>
      </c>
      <c r="Q1" s="10" t="s">
        <v>49</v>
      </c>
      <c r="R1" s="10" t="s">
        <v>50</v>
      </c>
      <c r="S1" s="10" t="s">
        <v>51</v>
      </c>
      <c r="T1" s="11" t="s">
        <v>52</v>
      </c>
      <c r="U1" s="10" t="s">
        <v>53</v>
      </c>
      <c r="V1" s="10" t="s">
        <v>54</v>
      </c>
    </row>
    <row r="2" customFormat="false" ht="26.85" hidden="false" customHeight="false" outlineLevel="0" collapsed="false">
      <c r="A2" s="4" t="n">
        <v>1</v>
      </c>
      <c r="B2" s="8" t="s">
        <v>55</v>
      </c>
      <c r="C2" s="4" t="s">
        <v>56</v>
      </c>
      <c r="D2" s="8" t="s">
        <v>57</v>
      </c>
      <c r="E2" s="4" t="s">
        <v>58</v>
      </c>
      <c r="F2" s="4" t="s">
        <v>59</v>
      </c>
      <c r="G2" s="4" t="s">
        <v>60</v>
      </c>
      <c r="H2" s="4" t="s">
        <v>61</v>
      </c>
      <c r="I2" s="8" t="s">
        <v>62</v>
      </c>
      <c r="J2" s="17"/>
      <c r="K2" s="17"/>
      <c r="L2" s="4" t="s">
        <v>61</v>
      </c>
      <c r="M2" s="18"/>
      <c r="N2" s="18"/>
      <c r="O2" s="18"/>
      <c r="P2" s="8" t="s">
        <v>63</v>
      </c>
      <c r="Q2" s="19"/>
      <c r="R2" s="19"/>
      <c r="S2" s="19"/>
      <c r="T2" s="4" t="s">
        <v>61</v>
      </c>
      <c r="U2" s="12"/>
      <c r="V2" s="4"/>
    </row>
    <row r="3" customFormat="false" ht="26.85" hidden="false" customHeight="false" outlineLevel="0" collapsed="false">
      <c r="A3" s="4" t="n">
        <v>2</v>
      </c>
      <c r="B3" s="8" t="s">
        <v>55</v>
      </c>
      <c r="C3" s="4" t="s">
        <v>64</v>
      </c>
      <c r="D3" s="8" t="s">
        <v>65</v>
      </c>
      <c r="E3" s="4" t="s">
        <v>58</v>
      </c>
      <c r="F3" s="4" t="s">
        <v>59</v>
      </c>
      <c r="G3" s="4" t="s">
        <v>60</v>
      </c>
      <c r="H3" s="4" t="s">
        <v>61</v>
      </c>
      <c r="I3" s="8" t="s">
        <v>62</v>
      </c>
      <c r="J3" s="17"/>
      <c r="K3" s="17"/>
      <c r="L3" s="4" t="s">
        <v>61</v>
      </c>
      <c r="M3" s="18"/>
      <c r="N3" s="18"/>
      <c r="O3" s="18"/>
      <c r="P3" s="8" t="s">
        <v>63</v>
      </c>
      <c r="Q3" s="19"/>
      <c r="R3" s="19"/>
      <c r="S3" s="19"/>
      <c r="T3" s="4" t="s">
        <v>61</v>
      </c>
      <c r="U3" s="12"/>
      <c r="V3" s="4"/>
    </row>
    <row r="4" customFormat="false" ht="26.85" hidden="false" customHeight="false" outlineLevel="0" collapsed="false">
      <c r="A4" s="4" t="n">
        <v>3</v>
      </c>
      <c r="B4" s="8" t="s">
        <v>55</v>
      </c>
      <c r="C4" s="4" t="s">
        <v>66</v>
      </c>
      <c r="D4" s="8" t="s">
        <v>67</v>
      </c>
      <c r="E4" s="4" t="s">
        <v>58</v>
      </c>
      <c r="F4" s="4" t="s">
        <v>59</v>
      </c>
      <c r="G4" s="4" t="s">
        <v>60</v>
      </c>
      <c r="H4" s="4" t="s">
        <v>61</v>
      </c>
      <c r="I4" s="8" t="s">
        <v>62</v>
      </c>
      <c r="J4" s="17"/>
      <c r="K4" s="17"/>
      <c r="L4" s="4" t="s">
        <v>61</v>
      </c>
      <c r="M4" s="18"/>
      <c r="N4" s="18"/>
      <c r="O4" s="18"/>
      <c r="P4" s="8" t="s">
        <v>63</v>
      </c>
      <c r="Q4" s="19"/>
      <c r="R4" s="19"/>
      <c r="S4" s="19"/>
      <c r="T4" s="4" t="s">
        <v>61</v>
      </c>
      <c r="U4" s="12"/>
      <c r="V4" s="4"/>
    </row>
    <row r="5" customFormat="false" ht="26.85" hidden="false" customHeight="false" outlineLevel="0" collapsed="false">
      <c r="A5" s="4" t="n">
        <v>4</v>
      </c>
      <c r="B5" s="8" t="s">
        <v>55</v>
      </c>
      <c r="C5" s="4" t="s">
        <v>68</v>
      </c>
      <c r="D5" s="8" t="s">
        <v>69</v>
      </c>
      <c r="E5" s="4" t="s">
        <v>58</v>
      </c>
      <c r="F5" s="4" t="s">
        <v>59</v>
      </c>
      <c r="G5" s="4" t="s">
        <v>60</v>
      </c>
      <c r="H5" s="4" t="s">
        <v>61</v>
      </c>
      <c r="I5" s="8" t="s">
        <v>62</v>
      </c>
      <c r="J5" s="17"/>
      <c r="K5" s="17"/>
      <c r="L5" s="4" t="s">
        <v>61</v>
      </c>
      <c r="M5" s="18"/>
      <c r="N5" s="18"/>
      <c r="O5" s="18"/>
      <c r="P5" s="8" t="s">
        <v>63</v>
      </c>
      <c r="Q5" s="19"/>
      <c r="R5" s="19"/>
      <c r="S5" s="19"/>
      <c r="T5" s="4" t="s">
        <v>61</v>
      </c>
      <c r="U5" s="12"/>
      <c r="V5" s="4"/>
    </row>
    <row r="6" customFormat="false" ht="26.85" hidden="false" customHeight="false" outlineLevel="0" collapsed="false">
      <c r="A6" s="4" t="n">
        <v>5</v>
      </c>
      <c r="B6" s="8" t="s">
        <v>55</v>
      </c>
      <c r="C6" s="4" t="s">
        <v>70</v>
      </c>
      <c r="D6" s="8" t="s">
        <v>71</v>
      </c>
      <c r="E6" s="4" t="s">
        <v>58</v>
      </c>
      <c r="F6" s="4" t="s">
        <v>59</v>
      </c>
      <c r="G6" s="4" t="s">
        <v>60</v>
      </c>
      <c r="H6" s="4" t="s">
        <v>61</v>
      </c>
      <c r="I6" s="8" t="s">
        <v>62</v>
      </c>
      <c r="J6" s="17"/>
      <c r="K6" s="17"/>
      <c r="L6" s="4" t="s">
        <v>61</v>
      </c>
      <c r="M6" s="18"/>
      <c r="N6" s="18"/>
      <c r="O6" s="18"/>
      <c r="P6" s="8" t="s">
        <v>63</v>
      </c>
      <c r="Q6" s="19"/>
      <c r="R6" s="19"/>
      <c r="S6" s="19"/>
      <c r="T6" s="4" t="s">
        <v>61</v>
      </c>
      <c r="U6" s="12"/>
      <c r="V6" s="4"/>
    </row>
    <row r="7" customFormat="false" ht="26.85" hidden="false" customHeight="false" outlineLevel="0" collapsed="false">
      <c r="A7" s="4" t="n">
        <v>6</v>
      </c>
      <c r="B7" s="8" t="s">
        <v>55</v>
      </c>
      <c r="C7" s="4" t="s">
        <v>72</v>
      </c>
      <c r="D7" s="8" t="s">
        <v>73</v>
      </c>
      <c r="E7" s="4" t="s">
        <v>58</v>
      </c>
      <c r="F7" s="4" t="s">
        <v>59</v>
      </c>
      <c r="G7" s="4" t="s">
        <v>60</v>
      </c>
      <c r="H7" s="4" t="s">
        <v>61</v>
      </c>
      <c r="I7" s="8" t="s">
        <v>62</v>
      </c>
      <c r="J7" s="17"/>
      <c r="K7" s="17"/>
      <c r="L7" s="4" t="s">
        <v>61</v>
      </c>
      <c r="M7" s="18"/>
      <c r="N7" s="18"/>
      <c r="O7" s="18"/>
      <c r="P7" s="8" t="s">
        <v>63</v>
      </c>
      <c r="Q7" s="19"/>
      <c r="R7" s="19"/>
      <c r="S7" s="19"/>
      <c r="T7" s="4" t="s">
        <v>61</v>
      </c>
      <c r="U7" s="12"/>
      <c r="V7" s="4"/>
    </row>
    <row r="8" customFormat="false" ht="26.85" hidden="false" customHeight="false" outlineLevel="0" collapsed="false">
      <c r="A8" s="4" t="n">
        <v>7</v>
      </c>
      <c r="B8" s="8" t="s">
        <v>55</v>
      </c>
      <c r="C8" s="4" t="s">
        <v>74</v>
      </c>
      <c r="D8" s="8" t="s">
        <v>75</v>
      </c>
      <c r="E8" s="4" t="s">
        <v>58</v>
      </c>
      <c r="F8" s="4" t="s">
        <v>59</v>
      </c>
      <c r="G8" s="4" t="s">
        <v>60</v>
      </c>
      <c r="H8" s="4" t="s">
        <v>61</v>
      </c>
      <c r="I8" s="8" t="s">
        <v>62</v>
      </c>
      <c r="J8" s="17"/>
      <c r="K8" s="17"/>
      <c r="L8" s="4" t="s">
        <v>61</v>
      </c>
      <c r="M8" s="18"/>
      <c r="N8" s="18"/>
      <c r="O8" s="18"/>
      <c r="P8" s="8" t="s">
        <v>63</v>
      </c>
      <c r="Q8" s="19"/>
      <c r="R8" s="19"/>
      <c r="S8" s="19"/>
      <c r="T8" s="4" t="s">
        <v>61</v>
      </c>
      <c r="U8" s="12"/>
      <c r="V8" s="4"/>
    </row>
    <row r="9" customFormat="false" ht="26.85" hidden="false" customHeight="false" outlineLevel="0" collapsed="false">
      <c r="A9" s="4" t="n">
        <v>8</v>
      </c>
      <c r="B9" s="8" t="s">
        <v>55</v>
      </c>
      <c r="C9" s="4" t="s">
        <v>76</v>
      </c>
      <c r="D9" s="8" t="s">
        <v>77</v>
      </c>
      <c r="E9" s="4" t="s">
        <v>58</v>
      </c>
      <c r="F9" s="4" t="s">
        <v>59</v>
      </c>
      <c r="G9" s="4" t="s">
        <v>60</v>
      </c>
      <c r="H9" s="4" t="s">
        <v>61</v>
      </c>
      <c r="I9" s="8" t="s">
        <v>62</v>
      </c>
      <c r="J9" s="17"/>
      <c r="K9" s="17"/>
      <c r="L9" s="4" t="s">
        <v>61</v>
      </c>
      <c r="M9" s="18"/>
      <c r="N9" s="18" t="n">
        <v>2.5</v>
      </c>
      <c r="O9" s="18"/>
      <c r="P9" s="8" t="s">
        <v>78</v>
      </c>
      <c r="Q9" s="19"/>
      <c r="R9" s="19"/>
      <c r="S9" s="19"/>
      <c r="T9" s="4" t="s">
        <v>79</v>
      </c>
      <c r="U9" s="12"/>
      <c r="V9" s="8" t="s">
        <v>80</v>
      </c>
    </row>
    <row r="10" customFormat="false" ht="26.85" hidden="false" customHeight="false" outlineLevel="0" collapsed="false">
      <c r="A10" s="4" t="n">
        <v>9</v>
      </c>
      <c r="B10" s="8" t="s">
        <v>55</v>
      </c>
      <c r="C10" s="4" t="s">
        <v>81</v>
      </c>
      <c r="D10" s="20" t="s">
        <v>82</v>
      </c>
      <c r="E10" s="4"/>
      <c r="F10" s="4" t="s">
        <v>59</v>
      </c>
      <c r="G10" s="4" t="s">
        <v>60</v>
      </c>
      <c r="H10" s="4" t="s">
        <v>61</v>
      </c>
      <c r="I10" s="8" t="s">
        <v>62</v>
      </c>
      <c r="J10" s="17"/>
      <c r="K10" s="17"/>
      <c r="L10" s="4" t="s">
        <v>61</v>
      </c>
      <c r="M10" s="18" t="n">
        <v>97</v>
      </c>
      <c r="N10" s="18" t="n">
        <v>101</v>
      </c>
      <c r="O10" s="18" t="n">
        <v>99</v>
      </c>
      <c r="P10" s="8" t="s">
        <v>78</v>
      </c>
      <c r="Q10" s="19"/>
      <c r="R10" s="19"/>
      <c r="S10" s="19"/>
      <c r="T10" s="4" t="s">
        <v>83</v>
      </c>
      <c r="U10" s="12" t="s">
        <v>84</v>
      </c>
      <c r="V10" s="8" t="s">
        <v>85</v>
      </c>
    </row>
    <row r="11" customFormat="false" ht="26.85" hidden="false" customHeight="false" outlineLevel="0" collapsed="false">
      <c r="A11" s="4" t="n">
        <v>10</v>
      </c>
      <c r="B11" s="8" t="s">
        <v>55</v>
      </c>
      <c r="C11" s="4" t="s">
        <v>86</v>
      </c>
      <c r="D11" s="20" t="s">
        <v>87</v>
      </c>
      <c r="E11" s="4"/>
      <c r="F11" s="4" t="s">
        <v>59</v>
      </c>
      <c r="G11" s="4" t="s">
        <v>60</v>
      </c>
      <c r="H11" s="4" t="s">
        <v>61</v>
      </c>
      <c r="I11" s="8" t="s">
        <v>62</v>
      </c>
      <c r="J11" s="17"/>
      <c r="K11" s="17"/>
      <c r="L11" s="4" t="s">
        <v>61</v>
      </c>
      <c r="M11" s="18" t="n">
        <v>2.35</v>
      </c>
      <c r="N11" s="18" t="n">
        <v>2.75</v>
      </c>
      <c r="O11" s="18" t="n">
        <v>2.55</v>
      </c>
      <c r="P11" s="8" t="s">
        <v>78</v>
      </c>
      <c r="Q11" s="19"/>
      <c r="R11" s="19"/>
      <c r="S11" s="19"/>
      <c r="T11" s="4" t="s">
        <v>83</v>
      </c>
      <c r="U11" s="12" t="s">
        <v>84</v>
      </c>
      <c r="V11" s="4"/>
    </row>
    <row r="12" customFormat="false" ht="26.85" hidden="false" customHeight="false" outlineLevel="0" collapsed="false">
      <c r="A12" s="4" t="n">
        <v>11</v>
      </c>
      <c r="B12" s="8" t="s">
        <v>55</v>
      </c>
      <c r="C12" s="4" t="s">
        <v>88</v>
      </c>
      <c r="D12" s="8" t="s">
        <v>89</v>
      </c>
      <c r="E12" s="4"/>
      <c r="F12" s="4" t="s">
        <v>59</v>
      </c>
      <c r="G12" s="4" t="s">
        <v>60</v>
      </c>
      <c r="H12" s="4" t="s">
        <v>61</v>
      </c>
      <c r="I12" s="8" t="s">
        <v>62</v>
      </c>
      <c r="J12" s="17"/>
      <c r="K12" s="17"/>
      <c r="L12" s="4" t="s">
        <v>61</v>
      </c>
      <c r="M12" s="18" t="n">
        <v>1.4</v>
      </c>
      <c r="N12" s="18" t="n">
        <v>1.8</v>
      </c>
      <c r="O12" s="18" t="n">
        <v>1.58</v>
      </c>
      <c r="P12" s="8" t="s">
        <v>78</v>
      </c>
      <c r="Q12" s="19"/>
      <c r="R12" s="19"/>
      <c r="S12" s="19"/>
      <c r="T12" s="4" t="s">
        <v>83</v>
      </c>
      <c r="U12" s="12"/>
      <c r="V12" s="4"/>
    </row>
    <row r="13" customFormat="false" ht="26.85" hidden="false" customHeight="false" outlineLevel="0" collapsed="false">
      <c r="A13" s="4" t="n">
        <v>12</v>
      </c>
      <c r="B13" s="8" t="s">
        <v>55</v>
      </c>
      <c r="C13" s="4" t="s">
        <v>90</v>
      </c>
      <c r="D13" s="20" t="s">
        <v>91</v>
      </c>
      <c r="E13" s="4" t="s">
        <v>58</v>
      </c>
      <c r="F13" s="4" t="s">
        <v>59</v>
      </c>
      <c r="G13" s="4" t="s">
        <v>60</v>
      </c>
      <c r="H13" s="4" t="s">
        <v>61</v>
      </c>
      <c r="I13" s="8" t="s">
        <v>62</v>
      </c>
      <c r="J13" s="17"/>
      <c r="K13" s="17"/>
      <c r="L13" s="4" t="s">
        <v>61</v>
      </c>
      <c r="M13" s="18"/>
      <c r="N13" s="18" t="n">
        <v>16</v>
      </c>
      <c r="O13" s="18" t="n">
        <v>13</v>
      </c>
      <c r="P13" s="8" t="s">
        <v>78</v>
      </c>
      <c r="Q13" s="19"/>
      <c r="R13" s="19"/>
      <c r="S13" s="19"/>
      <c r="T13" s="4" t="s">
        <v>83</v>
      </c>
      <c r="U13" s="12" t="s">
        <v>84</v>
      </c>
      <c r="V13" s="8" t="s">
        <v>92</v>
      </c>
    </row>
    <row r="14" customFormat="false" ht="26.85" hidden="false" customHeight="false" outlineLevel="0" collapsed="false">
      <c r="A14" s="4" t="n">
        <v>13</v>
      </c>
      <c r="B14" s="8" t="s">
        <v>55</v>
      </c>
      <c r="C14" s="4" t="s">
        <v>93</v>
      </c>
      <c r="D14" s="8" t="s">
        <v>94</v>
      </c>
      <c r="E14" s="4" t="s">
        <v>58</v>
      </c>
      <c r="F14" s="4" t="s">
        <v>59</v>
      </c>
      <c r="G14" s="4" t="s">
        <v>60</v>
      </c>
      <c r="H14" s="4" t="s">
        <v>61</v>
      </c>
      <c r="I14" s="8" t="s">
        <v>62</v>
      </c>
      <c r="J14" s="17"/>
      <c r="K14" s="17"/>
      <c r="L14" s="4" t="s">
        <v>61</v>
      </c>
      <c r="M14" s="18"/>
      <c r="N14" s="18" t="n">
        <v>1.5</v>
      </c>
      <c r="O14" s="18" t="n">
        <v>1</v>
      </c>
      <c r="P14" s="8" t="s">
        <v>78</v>
      </c>
      <c r="Q14" s="19"/>
      <c r="R14" s="19"/>
      <c r="S14" s="19"/>
      <c r="T14" s="4" t="s">
        <v>79</v>
      </c>
      <c r="U14" s="12"/>
      <c r="V14" s="4"/>
    </row>
    <row r="15" customFormat="false" ht="26.85" hidden="false" customHeight="false" outlineLevel="0" collapsed="false">
      <c r="A15" s="4" t="n">
        <v>14</v>
      </c>
      <c r="B15" s="8" t="s">
        <v>55</v>
      </c>
      <c r="C15" s="4" t="s">
        <v>95</v>
      </c>
      <c r="D15" s="8" t="s">
        <v>96</v>
      </c>
      <c r="E15" s="4" t="s">
        <v>58</v>
      </c>
      <c r="F15" s="4" t="s">
        <v>59</v>
      </c>
      <c r="G15" s="4" t="s">
        <v>60</v>
      </c>
      <c r="H15" s="4" t="s">
        <v>97</v>
      </c>
      <c r="I15" s="8" t="s">
        <v>62</v>
      </c>
      <c r="J15" s="17"/>
      <c r="K15" s="17"/>
      <c r="L15" s="4" t="s">
        <v>61</v>
      </c>
      <c r="M15" s="18"/>
      <c r="N15" s="18"/>
      <c r="O15" s="18"/>
      <c r="P15" s="8" t="s">
        <v>63</v>
      </c>
      <c r="Q15" s="19"/>
      <c r="R15" s="19"/>
      <c r="S15" s="19"/>
      <c r="T15" s="4" t="s">
        <v>61</v>
      </c>
      <c r="U15" s="12"/>
      <c r="V15" s="8" t="s">
        <v>98</v>
      </c>
    </row>
    <row r="16" customFormat="false" ht="15" hidden="false" customHeight="false" outlineLevel="0" collapsed="false">
      <c r="A16" s="4" t="n">
        <v>15</v>
      </c>
      <c r="B16" s="8" t="s">
        <v>99</v>
      </c>
      <c r="C16" s="4" t="s">
        <v>100</v>
      </c>
      <c r="D16" s="8" t="s">
        <v>101</v>
      </c>
      <c r="E16" s="4" t="s">
        <v>102</v>
      </c>
      <c r="F16" s="4" t="s">
        <v>103</v>
      </c>
      <c r="G16" s="4" t="s">
        <v>104</v>
      </c>
      <c r="H16" s="4" t="s">
        <v>61</v>
      </c>
      <c r="I16" s="8" t="s">
        <v>62</v>
      </c>
      <c r="J16" s="17"/>
      <c r="K16" s="17"/>
      <c r="L16" s="4" t="s">
        <v>61</v>
      </c>
      <c r="M16" s="18"/>
      <c r="N16" s="18"/>
      <c r="O16" s="18"/>
      <c r="P16" s="8" t="s">
        <v>105</v>
      </c>
      <c r="Q16" s="19"/>
      <c r="R16" s="19"/>
      <c r="S16" s="19"/>
      <c r="T16" s="4" t="s">
        <v>61</v>
      </c>
      <c r="U16" s="12"/>
      <c r="V16" s="4"/>
    </row>
    <row r="17" customFormat="false" ht="15" hidden="false" customHeight="false" outlineLevel="0" collapsed="false">
      <c r="A17" s="4" t="n">
        <v>16</v>
      </c>
      <c r="B17" s="8" t="s">
        <v>99</v>
      </c>
      <c r="C17" s="4" t="s">
        <v>106</v>
      </c>
      <c r="D17" s="8" t="s">
        <v>107</v>
      </c>
      <c r="E17" s="4" t="s">
        <v>102</v>
      </c>
      <c r="F17" s="4" t="s">
        <v>103</v>
      </c>
      <c r="G17" s="4" t="s">
        <v>104</v>
      </c>
      <c r="H17" s="4" t="s">
        <v>61</v>
      </c>
      <c r="I17" s="8" t="s">
        <v>62</v>
      </c>
      <c r="J17" s="17"/>
      <c r="K17" s="17"/>
      <c r="L17" s="4" t="s">
        <v>61</v>
      </c>
      <c r="M17" s="18"/>
      <c r="N17" s="18"/>
      <c r="O17" s="18"/>
      <c r="P17" s="8" t="s">
        <v>105</v>
      </c>
      <c r="Q17" s="19"/>
      <c r="R17" s="19"/>
      <c r="S17" s="19"/>
      <c r="T17" s="4" t="s">
        <v>61</v>
      </c>
      <c r="U17" s="12"/>
      <c r="V17" s="4"/>
    </row>
    <row r="18" customFormat="false" ht="26.85" hidden="false" customHeight="false" outlineLevel="0" collapsed="false">
      <c r="A18" s="4" t="n">
        <v>17</v>
      </c>
      <c r="B18" s="8" t="s">
        <v>99</v>
      </c>
      <c r="C18" s="4" t="s">
        <v>108</v>
      </c>
      <c r="D18" s="20" t="s">
        <v>109</v>
      </c>
      <c r="E18" s="4" t="s">
        <v>110</v>
      </c>
      <c r="F18" s="4" t="s">
        <v>103</v>
      </c>
      <c r="G18" s="4" t="s">
        <v>104</v>
      </c>
      <c r="H18" s="4" t="s">
        <v>61</v>
      </c>
      <c r="I18" s="8" t="s">
        <v>62</v>
      </c>
      <c r="J18" s="17"/>
      <c r="K18" s="17"/>
      <c r="L18" s="4" t="s">
        <v>61</v>
      </c>
      <c r="M18" s="18" t="n">
        <v>1380</v>
      </c>
      <c r="N18" s="18" t="n">
        <v>1470</v>
      </c>
      <c r="O18" s="18" t="n">
        <v>1420</v>
      </c>
      <c r="P18" s="8" t="s">
        <v>78</v>
      </c>
      <c r="Q18" s="19"/>
      <c r="R18" s="19"/>
      <c r="S18" s="19"/>
      <c r="T18" s="4" t="s">
        <v>79</v>
      </c>
      <c r="U18" s="12" t="s">
        <v>84</v>
      </c>
      <c r="V18" s="8" t="s">
        <v>111</v>
      </c>
    </row>
    <row r="19" customFormat="false" ht="26.85" hidden="false" customHeight="false" outlineLevel="0" collapsed="false">
      <c r="A19" s="4" t="n">
        <v>18</v>
      </c>
      <c r="B19" s="8" t="s">
        <v>99</v>
      </c>
      <c r="C19" s="4" t="s">
        <v>112</v>
      </c>
      <c r="D19" s="8" t="s">
        <v>113</v>
      </c>
      <c r="E19" s="4" t="s">
        <v>58</v>
      </c>
      <c r="F19" s="4" t="s">
        <v>103</v>
      </c>
      <c r="G19" s="4" t="s">
        <v>104</v>
      </c>
      <c r="H19" s="4" t="s">
        <v>61</v>
      </c>
      <c r="I19" s="8" t="s">
        <v>62</v>
      </c>
      <c r="J19" s="17"/>
      <c r="K19" s="17"/>
      <c r="L19" s="4" t="s">
        <v>61</v>
      </c>
      <c r="M19" s="18" t="n">
        <v>2</v>
      </c>
      <c r="N19" s="18" t="n">
        <v>4.5</v>
      </c>
      <c r="O19" s="18" t="n">
        <v>3</v>
      </c>
      <c r="P19" s="8" t="s">
        <v>78</v>
      </c>
      <c r="Q19" s="19"/>
      <c r="R19" s="19"/>
      <c r="S19" s="19"/>
      <c r="T19" s="4" t="s">
        <v>79</v>
      </c>
      <c r="U19" s="12"/>
      <c r="V19" s="4"/>
    </row>
    <row r="20" customFormat="false" ht="26.85" hidden="false" customHeight="false" outlineLevel="0" collapsed="false">
      <c r="A20" s="4" t="n">
        <v>19</v>
      </c>
      <c r="B20" s="8" t="s">
        <v>99</v>
      </c>
      <c r="C20" s="4" t="s">
        <v>114</v>
      </c>
      <c r="D20" s="20" t="s">
        <v>115</v>
      </c>
      <c r="E20" s="4" t="s">
        <v>58</v>
      </c>
      <c r="F20" s="4" t="s">
        <v>103</v>
      </c>
      <c r="G20" s="4" t="s">
        <v>104</v>
      </c>
      <c r="H20" s="4" t="s">
        <v>61</v>
      </c>
      <c r="I20" s="8" t="s">
        <v>62</v>
      </c>
      <c r="J20" s="17"/>
      <c r="K20" s="17"/>
      <c r="L20" s="4" t="s">
        <v>61</v>
      </c>
      <c r="M20" s="18"/>
      <c r="N20" s="18" t="n">
        <v>0.3</v>
      </c>
      <c r="O20" s="18" t="n">
        <v>0.05</v>
      </c>
      <c r="P20" s="8" t="s">
        <v>78</v>
      </c>
      <c r="Q20" s="19"/>
      <c r="R20" s="19"/>
      <c r="S20" s="19"/>
      <c r="T20" s="4" t="s">
        <v>61</v>
      </c>
      <c r="U20" s="12" t="s">
        <v>84</v>
      </c>
      <c r="V20" s="8" t="s">
        <v>116</v>
      </c>
    </row>
    <row r="21" customFormat="false" ht="15" hidden="false" customHeight="false" outlineLevel="0" collapsed="false">
      <c r="A21" s="4" t="n">
        <v>20</v>
      </c>
      <c r="B21" s="8" t="s">
        <v>99</v>
      </c>
      <c r="C21" s="4" t="s">
        <v>117</v>
      </c>
      <c r="D21" s="8" t="s">
        <v>118</v>
      </c>
      <c r="E21" s="4" t="s">
        <v>58</v>
      </c>
      <c r="F21" s="4" t="s">
        <v>103</v>
      </c>
      <c r="G21" s="4" t="s">
        <v>104</v>
      </c>
      <c r="H21" s="4" t="s">
        <v>61</v>
      </c>
      <c r="I21" s="8" t="s">
        <v>62</v>
      </c>
      <c r="J21" s="17"/>
      <c r="K21" s="17"/>
      <c r="L21" s="4" t="s">
        <v>61</v>
      </c>
      <c r="M21" s="18"/>
      <c r="N21" s="18"/>
      <c r="O21" s="18"/>
      <c r="P21" s="8" t="s">
        <v>105</v>
      </c>
      <c r="Q21" s="19"/>
      <c r="R21" s="19"/>
      <c r="S21" s="19"/>
      <c r="T21" s="4" t="s">
        <v>61</v>
      </c>
      <c r="U21" s="12"/>
      <c r="V21" s="8" t="s">
        <v>119</v>
      </c>
    </row>
    <row r="22" customFormat="false" ht="26.85" hidden="false" customHeight="false" outlineLevel="0" collapsed="false">
      <c r="A22" s="4" t="n">
        <v>21</v>
      </c>
      <c r="B22" s="8" t="s">
        <v>99</v>
      </c>
      <c r="C22" s="4" t="s">
        <v>120</v>
      </c>
      <c r="D22" s="8" t="s">
        <v>121</v>
      </c>
      <c r="E22" s="4" t="s">
        <v>110</v>
      </c>
      <c r="F22" s="4" t="s">
        <v>103</v>
      </c>
      <c r="G22" s="4" t="s">
        <v>104</v>
      </c>
      <c r="H22" s="4" t="s">
        <v>61</v>
      </c>
      <c r="I22" s="8" t="s">
        <v>62</v>
      </c>
      <c r="J22" s="17"/>
      <c r="K22" s="17"/>
      <c r="L22" s="4" t="s">
        <v>61</v>
      </c>
      <c r="M22" s="18" t="n">
        <v>855</v>
      </c>
      <c r="N22" s="18" t="n">
        <v>895</v>
      </c>
      <c r="O22" s="18" t="n">
        <v>875</v>
      </c>
      <c r="P22" s="8" t="s">
        <v>78</v>
      </c>
      <c r="Q22" s="19"/>
      <c r="R22" s="19"/>
      <c r="S22" s="19"/>
      <c r="T22" s="4" t="s">
        <v>79</v>
      </c>
      <c r="U22" s="12"/>
      <c r="V22" s="4"/>
    </row>
    <row r="23" customFormat="false" ht="26.85" hidden="false" customHeight="false" outlineLevel="0" collapsed="false">
      <c r="A23" s="4" t="n">
        <v>22</v>
      </c>
      <c r="B23" s="8" t="s">
        <v>99</v>
      </c>
      <c r="C23" s="4" t="s">
        <v>122</v>
      </c>
      <c r="D23" s="4" t="s">
        <v>123</v>
      </c>
      <c r="E23" s="4" t="s">
        <v>110</v>
      </c>
      <c r="F23" s="4" t="s">
        <v>103</v>
      </c>
      <c r="G23" s="4" t="s">
        <v>104</v>
      </c>
      <c r="H23" s="4" t="s">
        <v>61</v>
      </c>
      <c r="I23" s="8" t="s">
        <v>62</v>
      </c>
      <c r="J23" s="17"/>
      <c r="K23" s="17"/>
      <c r="L23" s="4" t="s">
        <v>61</v>
      </c>
      <c r="M23" s="18" t="n">
        <v>950</v>
      </c>
      <c r="N23" s="18"/>
      <c r="O23" s="18" t="n">
        <v>1050</v>
      </c>
      <c r="P23" s="8" t="s">
        <v>78</v>
      </c>
      <c r="Q23" s="19"/>
      <c r="R23" s="19"/>
      <c r="S23" s="19"/>
      <c r="T23" s="4" t="s">
        <v>79</v>
      </c>
      <c r="U23" s="12"/>
      <c r="V23" s="4"/>
    </row>
    <row r="24" customFormat="false" ht="26.85" hidden="false" customHeight="false" outlineLevel="0" collapsed="false">
      <c r="A24" s="4" t="n">
        <v>23</v>
      </c>
      <c r="B24" s="8" t="s">
        <v>28</v>
      </c>
      <c r="C24" s="4" t="s">
        <v>124</v>
      </c>
      <c r="D24" s="8" t="s">
        <v>125</v>
      </c>
      <c r="E24" s="4" t="s">
        <v>58</v>
      </c>
      <c r="F24" s="4" t="s">
        <v>59</v>
      </c>
      <c r="G24" s="4" t="s">
        <v>126</v>
      </c>
      <c r="H24" s="4" t="s">
        <v>61</v>
      </c>
      <c r="I24" s="8" t="s">
        <v>62</v>
      </c>
      <c r="J24" s="17"/>
      <c r="K24" s="17"/>
      <c r="L24" s="4" t="s">
        <v>61</v>
      </c>
      <c r="M24" s="18"/>
      <c r="N24" s="18"/>
      <c r="O24" s="18"/>
      <c r="P24" s="8" t="s">
        <v>63</v>
      </c>
      <c r="Q24" s="19"/>
      <c r="R24" s="19"/>
      <c r="S24" s="19"/>
      <c r="T24" s="4" t="s">
        <v>61</v>
      </c>
      <c r="U24" s="12"/>
      <c r="V24" s="4"/>
    </row>
    <row r="25" customFormat="false" ht="26.85" hidden="false" customHeight="false" outlineLevel="0" collapsed="false">
      <c r="A25" s="4" t="n">
        <v>24</v>
      </c>
      <c r="B25" s="8" t="s">
        <v>28</v>
      </c>
      <c r="C25" s="4" t="s">
        <v>127</v>
      </c>
      <c r="D25" s="8" t="s">
        <v>128</v>
      </c>
      <c r="E25" s="4" t="s">
        <v>58</v>
      </c>
      <c r="F25" s="4" t="s">
        <v>59</v>
      </c>
      <c r="G25" s="4" t="s">
        <v>126</v>
      </c>
      <c r="H25" s="4" t="s">
        <v>61</v>
      </c>
      <c r="I25" s="8" t="s">
        <v>62</v>
      </c>
      <c r="J25" s="17"/>
      <c r="K25" s="17"/>
      <c r="L25" s="4" t="s">
        <v>61</v>
      </c>
      <c r="M25" s="18"/>
      <c r="N25" s="18"/>
      <c r="O25" s="18"/>
      <c r="P25" s="8" t="s">
        <v>63</v>
      </c>
      <c r="Q25" s="19"/>
      <c r="R25" s="19"/>
      <c r="S25" s="19"/>
      <c r="T25" s="4" t="s">
        <v>61</v>
      </c>
      <c r="U25" s="12"/>
      <c r="V25" s="4"/>
    </row>
    <row r="26" customFormat="false" ht="26.85" hidden="false" customHeight="false" outlineLevel="0" collapsed="false">
      <c r="A26" s="4" t="n">
        <v>25</v>
      </c>
      <c r="B26" s="8" t="s">
        <v>28</v>
      </c>
      <c r="C26" s="4" t="s">
        <v>129</v>
      </c>
      <c r="D26" s="8" t="s">
        <v>130</v>
      </c>
      <c r="E26" s="4" t="s">
        <v>58</v>
      </c>
      <c r="F26" s="4" t="s">
        <v>59</v>
      </c>
      <c r="G26" s="4" t="s">
        <v>126</v>
      </c>
      <c r="H26" s="4" t="s">
        <v>61</v>
      </c>
      <c r="I26" s="8" t="s">
        <v>62</v>
      </c>
      <c r="J26" s="17"/>
      <c r="K26" s="17"/>
      <c r="L26" s="4" t="s">
        <v>61</v>
      </c>
      <c r="M26" s="18"/>
      <c r="N26" s="18"/>
      <c r="O26" s="18"/>
      <c r="P26" s="8" t="s">
        <v>63</v>
      </c>
      <c r="Q26" s="19"/>
      <c r="R26" s="19"/>
      <c r="S26" s="19"/>
      <c r="T26" s="4" t="s">
        <v>61</v>
      </c>
      <c r="U26" s="12"/>
      <c r="V26" s="4"/>
    </row>
    <row r="27" customFormat="false" ht="26.85" hidden="false" customHeight="false" outlineLevel="0" collapsed="false">
      <c r="A27" s="4" t="n">
        <v>26</v>
      </c>
      <c r="B27" s="8" t="s">
        <v>28</v>
      </c>
      <c r="C27" s="4" t="s">
        <v>131</v>
      </c>
      <c r="D27" s="8" t="s">
        <v>132</v>
      </c>
      <c r="E27" s="4" t="s">
        <v>58</v>
      </c>
      <c r="F27" s="4" t="s">
        <v>59</v>
      </c>
      <c r="G27" s="4" t="s">
        <v>126</v>
      </c>
      <c r="H27" s="4" t="s">
        <v>61</v>
      </c>
      <c r="I27" s="8" t="s">
        <v>62</v>
      </c>
      <c r="J27" s="17"/>
      <c r="K27" s="17"/>
      <c r="L27" s="4" t="s">
        <v>61</v>
      </c>
      <c r="M27" s="18"/>
      <c r="N27" s="18"/>
      <c r="O27" s="18"/>
      <c r="P27" s="8" t="s">
        <v>63</v>
      </c>
      <c r="Q27" s="19"/>
      <c r="R27" s="19"/>
      <c r="S27" s="19"/>
      <c r="T27" s="4" t="s">
        <v>61</v>
      </c>
      <c r="U27" s="12"/>
      <c r="V27" s="4"/>
    </row>
    <row r="28" customFormat="false" ht="26.85" hidden="false" customHeight="false" outlineLevel="0" collapsed="false">
      <c r="A28" s="4" t="n">
        <v>27</v>
      </c>
      <c r="B28" s="8" t="s">
        <v>28</v>
      </c>
      <c r="C28" s="4" t="s">
        <v>133</v>
      </c>
      <c r="D28" s="8" t="s">
        <v>134</v>
      </c>
      <c r="E28" s="4" t="s">
        <v>58</v>
      </c>
      <c r="F28" s="4" t="s">
        <v>59</v>
      </c>
      <c r="G28" s="4" t="s">
        <v>126</v>
      </c>
      <c r="H28" s="4" t="s">
        <v>61</v>
      </c>
      <c r="I28" s="8" t="s">
        <v>62</v>
      </c>
      <c r="J28" s="17"/>
      <c r="K28" s="17"/>
      <c r="L28" s="4" t="s">
        <v>61</v>
      </c>
      <c r="M28" s="18"/>
      <c r="N28" s="18"/>
      <c r="O28" s="18"/>
      <c r="P28" s="8" t="s">
        <v>63</v>
      </c>
      <c r="Q28" s="19"/>
      <c r="R28" s="19"/>
      <c r="S28" s="19"/>
      <c r="T28" s="4" t="s">
        <v>61</v>
      </c>
      <c r="U28" s="12"/>
      <c r="V28" s="4"/>
    </row>
    <row r="29" customFormat="false" ht="26.85" hidden="false" customHeight="false" outlineLevel="0" collapsed="false">
      <c r="A29" s="4" t="n">
        <v>28</v>
      </c>
      <c r="B29" s="8" t="s">
        <v>28</v>
      </c>
      <c r="C29" s="4" t="s">
        <v>135</v>
      </c>
      <c r="D29" s="8" t="s">
        <v>136</v>
      </c>
      <c r="E29" s="4" t="s">
        <v>58</v>
      </c>
      <c r="F29" s="4" t="s">
        <v>59</v>
      </c>
      <c r="G29" s="4" t="s">
        <v>126</v>
      </c>
      <c r="H29" s="4" t="s">
        <v>61</v>
      </c>
      <c r="I29" s="8" t="s">
        <v>62</v>
      </c>
      <c r="J29" s="17"/>
      <c r="K29" s="17"/>
      <c r="L29" s="4" t="s">
        <v>61</v>
      </c>
      <c r="M29" s="18"/>
      <c r="N29" s="18"/>
      <c r="O29" s="18"/>
      <c r="P29" s="8" t="s">
        <v>63</v>
      </c>
      <c r="Q29" s="19"/>
      <c r="R29" s="19"/>
      <c r="S29" s="19"/>
      <c r="T29" s="4" t="s">
        <v>61</v>
      </c>
      <c r="U29" s="12"/>
      <c r="V29" s="4"/>
    </row>
    <row r="30" customFormat="false" ht="26.85" hidden="false" customHeight="false" outlineLevel="0" collapsed="false">
      <c r="A30" s="4" t="n">
        <v>29</v>
      </c>
      <c r="B30" s="8" t="s">
        <v>28</v>
      </c>
      <c r="C30" s="4" t="s">
        <v>137</v>
      </c>
      <c r="D30" s="8" t="s">
        <v>138</v>
      </c>
      <c r="E30" s="4" t="s">
        <v>58</v>
      </c>
      <c r="F30" s="4" t="s">
        <v>59</v>
      </c>
      <c r="G30" s="4" t="s">
        <v>126</v>
      </c>
      <c r="H30" s="4" t="s">
        <v>61</v>
      </c>
      <c r="I30" s="8" t="s">
        <v>62</v>
      </c>
      <c r="J30" s="17"/>
      <c r="K30" s="17"/>
      <c r="L30" s="4" t="s">
        <v>61</v>
      </c>
      <c r="M30" s="18"/>
      <c r="N30" s="18"/>
      <c r="O30" s="18"/>
      <c r="P30" s="8" t="s">
        <v>63</v>
      </c>
      <c r="Q30" s="19"/>
      <c r="R30" s="19"/>
      <c r="S30" s="19"/>
      <c r="T30" s="4" t="s">
        <v>61</v>
      </c>
      <c r="U30" s="12"/>
      <c r="V30" s="4"/>
    </row>
    <row r="31" customFormat="false" ht="26.85" hidden="false" customHeight="false" outlineLevel="0" collapsed="false">
      <c r="A31" s="4" t="n">
        <v>30</v>
      </c>
      <c r="B31" s="8" t="s">
        <v>28</v>
      </c>
      <c r="C31" s="4" t="s">
        <v>139</v>
      </c>
      <c r="D31" s="8" t="s">
        <v>140</v>
      </c>
      <c r="E31" s="4" t="s">
        <v>58</v>
      </c>
      <c r="F31" s="4" t="s">
        <v>59</v>
      </c>
      <c r="G31" s="4" t="s">
        <v>126</v>
      </c>
      <c r="H31" s="4" t="s">
        <v>61</v>
      </c>
      <c r="I31" s="8" t="s">
        <v>62</v>
      </c>
      <c r="J31" s="17"/>
      <c r="K31" s="17"/>
      <c r="L31" s="4" t="s">
        <v>61</v>
      </c>
      <c r="M31" s="18"/>
      <c r="N31" s="18"/>
      <c r="O31" s="18"/>
      <c r="P31" s="8" t="s">
        <v>63</v>
      </c>
      <c r="Q31" s="19"/>
      <c r="R31" s="19"/>
      <c r="S31" s="19"/>
      <c r="T31" s="4" t="s">
        <v>61</v>
      </c>
      <c r="U31" s="12"/>
      <c r="V31" s="4"/>
    </row>
    <row r="32" customFormat="false" ht="26.85" hidden="false" customHeight="false" outlineLevel="0" collapsed="false">
      <c r="A32" s="4" t="n">
        <v>31</v>
      </c>
      <c r="B32" s="8" t="s">
        <v>28</v>
      </c>
      <c r="C32" s="4" t="s">
        <v>141</v>
      </c>
      <c r="D32" s="8" t="s">
        <v>142</v>
      </c>
      <c r="E32" s="4" t="s">
        <v>58</v>
      </c>
      <c r="F32" s="4" t="s">
        <v>59</v>
      </c>
      <c r="G32" s="4" t="s">
        <v>126</v>
      </c>
      <c r="H32" s="4" t="s">
        <v>61</v>
      </c>
      <c r="I32" s="8" t="s">
        <v>62</v>
      </c>
      <c r="J32" s="17"/>
      <c r="K32" s="17"/>
      <c r="L32" s="4" t="s">
        <v>61</v>
      </c>
      <c r="M32" s="18"/>
      <c r="N32" s="18"/>
      <c r="O32" s="18"/>
      <c r="P32" s="8" t="s">
        <v>63</v>
      </c>
      <c r="Q32" s="19"/>
      <c r="R32" s="19"/>
      <c r="S32" s="19"/>
      <c r="T32" s="4" t="s">
        <v>61</v>
      </c>
      <c r="U32" s="12"/>
      <c r="V32" s="4"/>
    </row>
    <row r="33" customFormat="false" ht="26.85" hidden="false" customHeight="false" outlineLevel="0" collapsed="false">
      <c r="A33" s="4" t="n">
        <v>32</v>
      </c>
      <c r="B33" s="8" t="s">
        <v>28</v>
      </c>
      <c r="C33" s="4" t="s">
        <v>143</v>
      </c>
      <c r="D33" s="8" t="s">
        <v>144</v>
      </c>
      <c r="E33" s="4" t="s">
        <v>58</v>
      </c>
      <c r="F33" s="4" t="s">
        <v>59</v>
      </c>
      <c r="G33" s="4" t="s">
        <v>126</v>
      </c>
      <c r="H33" s="4" t="s">
        <v>61</v>
      </c>
      <c r="I33" s="8" t="s">
        <v>62</v>
      </c>
      <c r="J33" s="17"/>
      <c r="K33" s="17"/>
      <c r="L33" s="4" t="s">
        <v>61</v>
      </c>
      <c r="M33" s="18"/>
      <c r="N33" s="18" t="n">
        <v>4.5</v>
      </c>
      <c r="O33" s="18"/>
      <c r="P33" s="8" t="s">
        <v>78</v>
      </c>
      <c r="Q33" s="19"/>
      <c r="R33" s="19"/>
      <c r="S33" s="19"/>
      <c r="T33" s="4" t="s">
        <v>79</v>
      </c>
      <c r="U33" s="12"/>
      <c r="V33" s="4" t="s">
        <v>145</v>
      </c>
    </row>
    <row r="34" customFormat="false" ht="26.85" hidden="false" customHeight="false" outlineLevel="0" collapsed="false">
      <c r="A34" s="4" t="n">
        <v>33</v>
      </c>
      <c r="B34" s="8" t="s">
        <v>28</v>
      </c>
      <c r="C34" s="4" t="s">
        <v>146</v>
      </c>
      <c r="D34" s="20" t="s">
        <v>147</v>
      </c>
      <c r="E34" s="4" t="s">
        <v>58</v>
      </c>
      <c r="F34" s="4" t="s">
        <v>59</v>
      </c>
      <c r="G34" s="4" t="s">
        <v>126</v>
      </c>
      <c r="H34" s="4" t="s">
        <v>61</v>
      </c>
      <c r="I34" s="8" t="s">
        <v>62</v>
      </c>
      <c r="J34" s="17"/>
      <c r="K34" s="17"/>
      <c r="L34" s="4" t="s">
        <v>61</v>
      </c>
      <c r="M34" s="18" t="n">
        <v>0.4</v>
      </c>
      <c r="N34" s="18" t="n">
        <v>1.8</v>
      </c>
      <c r="O34" s="18" t="n">
        <v>1</v>
      </c>
      <c r="P34" s="8" t="s">
        <v>78</v>
      </c>
      <c r="Q34" s="19"/>
      <c r="R34" s="19"/>
      <c r="S34" s="19"/>
      <c r="T34" s="4" t="s">
        <v>83</v>
      </c>
      <c r="U34" s="12" t="s">
        <v>84</v>
      </c>
      <c r="V34" s="8" t="s">
        <v>148</v>
      </c>
    </row>
    <row r="35" customFormat="false" ht="26.85" hidden="false" customHeight="false" outlineLevel="0" collapsed="false">
      <c r="A35" s="4" t="n">
        <v>34</v>
      </c>
      <c r="B35" s="8" t="s">
        <v>28</v>
      </c>
      <c r="C35" s="4" t="s">
        <v>149</v>
      </c>
      <c r="D35" s="8" t="s">
        <v>150</v>
      </c>
      <c r="E35" s="4" t="s">
        <v>151</v>
      </c>
      <c r="F35" s="4" t="s">
        <v>59</v>
      </c>
      <c r="G35" s="4" t="s">
        <v>126</v>
      </c>
      <c r="H35" s="4" t="s">
        <v>61</v>
      </c>
      <c r="I35" s="8" t="s">
        <v>62</v>
      </c>
      <c r="J35" s="17"/>
      <c r="K35" s="17"/>
      <c r="L35" s="4" t="s">
        <v>61</v>
      </c>
      <c r="M35" s="18" t="n">
        <v>1200</v>
      </c>
      <c r="N35" s="18" t="n">
        <v>1400</v>
      </c>
      <c r="O35" s="18" t="n">
        <v>1300</v>
      </c>
      <c r="P35" s="8" t="s">
        <v>78</v>
      </c>
      <c r="Q35" s="19"/>
      <c r="R35" s="19"/>
      <c r="S35" s="19"/>
      <c r="T35" s="4" t="s">
        <v>79</v>
      </c>
      <c r="U35" s="12"/>
      <c r="V35" s="8" t="s">
        <v>152</v>
      </c>
    </row>
    <row r="36" customFormat="false" ht="26.85" hidden="false" customHeight="false" outlineLevel="0" collapsed="false">
      <c r="A36" s="4" t="n">
        <v>35</v>
      </c>
      <c r="B36" s="8" t="s">
        <v>28</v>
      </c>
      <c r="C36" s="4" t="s">
        <v>153</v>
      </c>
      <c r="D36" s="20" t="s">
        <v>154</v>
      </c>
      <c r="E36" s="4"/>
      <c r="F36" s="4" t="s">
        <v>59</v>
      </c>
      <c r="G36" s="4" t="s">
        <v>126</v>
      </c>
      <c r="H36" s="4" t="s">
        <v>61</v>
      </c>
      <c r="I36" s="8" t="s">
        <v>62</v>
      </c>
      <c r="J36" s="17"/>
      <c r="K36" s="17"/>
      <c r="L36" s="4" t="s">
        <v>61</v>
      </c>
      <c r="M36" s="18" t="n">
        <v>93</v>
      </c>
      <c r="N36" s="18" t="n">
        <v>97.5</v>
      </c>
      <c r="O36" s="18" t="n">
        <v>95</v>
      </c>
      <c r="P36" s="8" t="s">
        <v>78</v>
      </c>
      <c r="Q36" s="19"/>
      <c r="R36" s="19"/>
      <c r="S36" s="19"/>
      <c r="T36" s="4" t="s">
        <v>83</v>
      </c>
      <c r="U36" s="12" t="s">
        <v>84</v>
      </c>
      <c r="V36" s="4"/>
    </row>
    <row r="37" customFormat="false" ht="26.85" hidden="false" customHeight="false" outlineLevel="0" collapsed="false">
      <c r="A37" s="4" t="n">
        <v>36</v>
      </c>
      <c r="B37" s="8" t="s">
        <v>28</v>
      </c>
      <c r="C37" s="4" t="s">
        <v>155</v>
      </c>
      <c r="D37" s="8" t="s">
        <v>156</v>
      </c>
      <c r="E37" s="4"/>
      <c r="F37" s="4" t="s">
        <v>59</v>
      </c>
      <c r="G37" s="4" t="s">
        <v>126</v>
      </c>
      <c r="H37" s="4" t="s">
        <v>61</v>
      </c>
      <c r="I37" s="8" t="s">
        <v>62</v>
      </c>
      <c r="J37" s="17"/>
      <c r="K37" s="17"/>
      <c r="L37" s="4" t="s">
        <v>61</v>
      </c>
      <c r="M37" s="18" t="n">
        <v>2.3</v>
      </c>
      <c r="N37" s="18" t="n">
        <v>2.7</v>
      </c>
      <c r="O37" s="18" t="n">
        <v>2.5</v>
      </c>
      <c r="P37" s="8" t="s">
        <v>78</v>
      </c>
      <c r="Q37" s="19"/>
      <c r="R37" s="19"/>
      <c r="S37" s="19"/>
      <c r="T37" s="4" t="s">
        <v>83</v>
      </c>
      <c r="U37" s="12"/>
      <c r="V37" s="4"/>
    </row>
    <row r="38" customFormat="false" ht="26.85" hidden="false" customHeight="false" outlineLevel="0" collapsed="false">
      <c r="A38" s="4" t="n">
        <v>37</v>
      </c>
      <c r="B38" s="8" t="s">
        <v>28</v>
      </c>
      <c r="C38" s="4" t="s">
        <v>157</v>
      </c>
      <c r="D38" s="8" t="s">
        <v>158</v>
      </c>
      <c r="E38" s="4"/>
      <c r="F38" s="4" t="s">
        <v>59</v>
      </c>
      <c r="G38" s="4" t="s">
        <v>126</v>
      </c>
      <c r="H38" s="4" t="s">
        <v>61</v>
      </c>
      <c r="I38" s="8" t="s">
        <v>62</v>
      </c>
      <c r="J38" s="17"/>
      <c r="K38" s="17"/>
      <c r="L38" s="4" t="s">
        <v>61</v>
      </c>
      <c r="M38" s="18" t="n">
        <v>1.4</v>
      </c>
      <c r="N38" s="18" t="n">
        <v>1.8</v>
      </c>
      <c r="O38" s="18" t="n">
        <v>1.6</v>
      </c>
      <c r="P38" s="8" t="s">
        <v>78</v>
      </c>
      <c r="Q38" s="19"/>
      <c r="R38" s="19"/>
      <c r="S38" s="19"/>
      <c r="T38" s="4" t="s">
        <v>83</v>
      </c>
      <c r="U38" s="12"/>
      <c r="V38" s="4"/>
    </row>
    <row r="39" customFormat="false" ht="26.85" hidden="false" customHeight="false" outlineLevel="0" collapsed="false">
      <c r="A39" s="4" t="n">
        <v>38</v>
      </c>
      <c r="B39" s="8" t="s">
        <v>28</v>
      </c>
      <c r="C39" s="4" t="s">
        <v>159</v>
      </c>
      <c r="D39" s="20" t="s">
        <v>160</v>
      </c>
      <c r="E39" s="4" t="s">
        <v>58</v>
      </c>
      <c r="F39" s="4" t="s">
        <v>59</v>
      </c>
      <c r="G39" s="4" t="s">
        <v>126</v>
      </c>
      <c r="H39" s="4" t="s">
        <v>61</v>
      </c>
      <c r="I39" s="8" t="s">
        <v>62</v>
      </c>
      <c r="J39" s="17"/>
      <c r="K39" s="17"/>
      <c r="L39" s="4" t="s">
        <v>61</v>
      </c>
      <c r="M39" s="18" t="n">
        <v>53</v>
      </c>
      <c r="N39" s="18" t="n">
        <v>63</v>
      </c>
      <c r="O39" s="18" t="n">
        <v>57.5</v>
      </c>
      <c r="P39" s="8" t="s">
        <v>78</v>
      </c>
      <c r="Q39" s="19"/>
      <c r="R39" s="19"/>
      <c r="S39" s="19"/>
      <c r="T39" s="4" t="s">
        <v>83</v>
      </c>
      <c r="U39" s="12" t="s">
        <v>84</v>
      </c>
      <c r="V39" s="4" t="s">
        <v>161</v>
      </c>
    </row>
    <row r="40" customFormat="false" ht="26.85" hidden="false" customHeight="false" outlineLevel="0" collapsed="false">
      <c r="A40" s="4" t="n">
        <v>39</v>
      </c>
      <c r="B40" s="8" t="s">
        <v>28</v>
      </c>
      <c r="C40" s="4" t="s">
        <v>162</v>
      </c>
      <c r="D40" s="8" t="s">
        <v>163</v>
      </c>
      <c r="E40" s="4" t="s">
        <v>58</v>
      </c>
      <c r="F40" s="4" t="s">
        <v>59</v>
      </c>
      <c r="G40" s="4" t="s">
        <v>126</v>
      </c>
      <c r="H40" s="4" t="s">
        <v>61</v>
      </c>
      <c r="I40" s="8" t="s">
        <v>62</v>
      </c>
      <c r="J40" s="17"/>
      <c r="K40" s="17"/>
      <c r="L40" s="4" t="s">
        <v>61</v>
      </c>
      <c r="M40" s="18"/>
      <c r="N40" s="18" t="n">
        <v>10.5</v>
      </c>
      <c r="O40" s="18"/>
      <c r="P40" s="8" t="s">
        <v>78</v>
      </c>
      <c r="Q40" s="19"/>
      <c r="R40" s="19"/>
      <c r="S40" s="19"/>
      <c r="T40" s="4" t="s">
        <v>79</v>
      </c>
      <c r="U40" s="12"/>
      <c r="V40" s="8" t="s">
        <v>164</v>
      </c>
    </row>
    <row r="41" customFormat="false" ht="26.85" hidden="false" customHeight="false" outlineLevel="0" collapsed="false">
      <c r="A41" s="4" t="n">
        <v>40</v>
      </c>
      <c r="B41" s="8" t="s">
        <v>28</v>
      </c>
      <c r="C41" s="4" t="s">
        <v>165</v>
      </c>
      <c r="D41" s="8" t="s">
        <v>166</v>
      </c>
      <c r="E41" s="4" t="s">
        <v>58</v>
      </c>
      <c r="F41" s="4" t="s">
        <v>59</v>
      </c>
      <c r="G41" s="4" t="s">
        <v>126</v>
      </c>
      <c r="H41" s="4" t="s">
        <v>61</v>
      </c>
      <c r="I41" s="8" t="s">
        <v>62</v>
      </c>
      <c r="J41" s="17"/>
      <c r="K41" s="17"/>
      <c r="L41" s="4" t="s">
        <v>61</v>
      </c>
      <c r="M41" s="18" t="n">
        <v>24</v>
      </c>
      <c r="N41" s="18" t="n">
        <v>29</v>
      </c>
      <c r="O41" s="18" t="n">
        <v>26.5</v>
      </c>
      <c r="P41" s="8" t="s">
        <v>78</v>
      </c>
      <c r="Q41" s="19"/>
      <c r="R41" s="19"/>
      <c r="S41" s="19"/>
      <c r="T41" s="4" t="s">
        <v>79</v>
      </c>
      <c r="U41" s="12"/>
      <c r="V41" s="4"/>
    </row>
    <row r="42" customFormat="false" ht="26.85" hidden="false" customHeight="false" outlineLevel="0" collapsed="false">
      <c r="A42" s="4" t="n">
        <v>41</v>
      </c>
      <c r="B42" s="8" t="s">
        <v>28</v>
      </c>
      <c r="C42" s="4" t="s">
        <v>167</v>
      </c>
      <c r="D42" s="8" t="s">
        <v>168</v>
      </c>
      <c r="E42" s="4" t="s">
        <v>58</v>
      </c>
      <c r="F42" s="4" t="s">
        <v>59</v>
      </c>
      <c r="G42" s="4" t="s">
        <v>126</v>
      </c>
      <c r="H42" s="4" t="s">
        <v>61</v>
      </c>
      <c r="I42" s="8" t="s">
        <v>62</v>
      </c>
      <c r="J42" s="17"/>
      <c r="K42" s="17"/>
      <c r="L42" s="4" t="s">
        <v>61</v>
      </c>
      <c r="M42" s="18"/>
      <c r="N42" s="18" t="n">
        <v>0.9</v>
      </c>
      <c r="O42" s="18"/>
      <c r="P42" s="8" t="s">
        <v>78</v>
      </c>
      <c r="Q42" s="19"/>
      <c r="R42" s="19"/>
      <c r="S42" s="19"/>
      <c r="T42" s="4" t="s">
        <v>79</v>
      </c>
      <c r="U42" s="12"/>
      <c r="V42" s="4"/>
    </row>
    <row r="43" customFormat="false" ht="39.55" hidden="false" customHeight="false" outlineLevel="0" collapsed="false">
      <c r="A43" s="4" t="n">
        <v>42</v>
      </c>
      <c r="B43" s="8" t="s">
        <v>28</v>
      </c>
      <c r="C43" s="4" t="s">
        <v>169</v>
      </c>
      <c r="D43" s="4" t="s">
        <v>170</v>
      </c>
      <c r="E43" s="4" t="s">
        <v>58</v>
      </c>
      <c r="F43" s="4" t="s">
        <v>171</v>
      </c>
      <c r="G43" s="8" t="s">
        <v>172</v>
      </c>
      <c r="H43" s="4" t="s">
        <v>173</v>
      </c>
      <c r="I43" s="8" t="s">
        <v>62</v>
      </c>
      <c r="J43" s="17"/>
      <c r="K43" s="17"/>
      <c r="L43" s="4" t="s">
        <v>61</v>
      </c>
      <c r="M43" s="18" t="n">
        <v>58</v>
      </c>
      <c r="N43" s="18" t="n">
        <v>70</v>
      </c>
      <c r="O43" s="18" t="n">
        <v>64</v>
      </c>
      <c r="P43" s="8" t="s">
        <v>174</v>
      </c>
      <c r="Q43" s="19"/>
      <c r="R43" s="19"/>
      <c r="S43" s="19"/>
      <c r="T43" s="4" t="s">
        <v>175</v>
      </c>
      <c r="U43" s="12"/>
      <c r="V43" s="8" t="s">
        <v>176</v>
      </c>
    </row>
    <row r="44" customFormat="false" ht="39.55" hidden="false" customHeight="false" outlineLevel="0" collapsed="false">
      <c r="A44" s="4" t="n">
        <v>43</v>
      </c>
      <c r="B44" s="8" t="s">
        <v>28</v>
      </c>
      <c r="C44" s="4" t="s">
        <v>177</v>
      </c>
      <c r="D44" s="4" t="s">
        <v>178</v>
      </c>
      <c r="E44" s="4" t="s">
        <v>58</v>
      </c>
      <c r="F44" s="4" t="s">
        <v>171</v>
      </c>
      <c r="G44" s="8" t="s">
        <v>172</v>
      </c>
      <c r="H44" s="4" t="s">
        <v>173</v>
      </c>
      <c r="I44" s="8" t="s">
        <v>62</v>
      </c>
      <c r="J44" s="17"/>
      <c r="K44" s="17"/>
      <c r="L44" s="4" t="s">
        <v>61</v>
      </c>
      <c r="M44" s="18" t="n">
        <v>8</v>
      </c>
      <c r="N44" s="18" t="n">
        <v>20</v>
      </c>
      <c r="O44" s="18" t="n">
        <v>14</v>
      </c>
      <c r="P44" s="8" t="s">
        <v>174</v>
      </c>
      <c r="Q44" s="19"/>
      <c r="R44" s="19"/>
      <c r="S44" s="19"/>
      <c r="T44" s="4" t="s">
        <v>79</v>
      </c>
      <c r="U44" s="12"/>
      <c r="V44" s="8" t="s">
        <v>179</v>
      </c>
    </row>
    <row r="45" customFormat="false" ht="39.55" hidden="false" customHeight="false" outlineLevel="0" collapsed="false">
      <c r="A45" s="4" t="n">
        <v>44</v>
      </c>
      <c r="B45" s="8" t="s">
        <v>28</v>
      </c>
      <c r="C45" s="4" t="s">
        <v>180</v>
      </c>
      <c r="D45" s="4" t="s">
        <v>181</v>
      </c>
      <c r="E45" s="4" t="s">
        <v>58</v>
      </c>
      <c r="F45" s="4" t="s">
        <v>171</v>
      </c>
      <c r="G45" s="8" t="s">
        <v>172</v>
      </c>
      <c r="H45" s="4" t="s">
        <v>173</v>
      </c>
      <c r="I45" s="8" t="s">
        <v>62</v>
      </c>
      <c r="J45" s="17"/>
      <c r="K45" s="17"/>
      <c r="L45" s="4" t="s">
        <v>61</v>
      </c>
      <c r="M45" s="18"/>
      <c r="N45" s="18" t="n">
        <v>10</v>
      </c>
      <c r="O45" s="18" t="n">
        <v>7.5</v>
      </c>
      <c r="P45" s="8" t="s">
        <v>174</v>
      </c>
      <c r="Q45" s="19"/>
      <c r="R45" s="19"/>
      <c r="S45" s="19"/>
      <c r="T45" s="4" t="s">
        <v>79</v>
      </c>
      <c r="U45" s="12"/>
      <c r="V45" s="8" t="s">
        <v>182</v>
      </c>
    </row>
    <row r="46" customFormat="false" ht="26.85" hidden="false" customHeight="false" outlineLevel="0" collapsed="false">
      <c r="A46" s="4" t="n">
        <v>45</v>
      </c>
      <c r="B46" s="8" t="s">
        <v>28</v>
      </c>
      <c r="C46" s="4" t="s">
        <v>183</v>
      </c>
      <c r="D46" s="4" t="s">
        <v>184</v>
      </c>
      <c r="E46" s="4" t="s">
        <v>58</v>
      </c>
      <c r="F46" s="4" t="s">
        <v>171</v>
      </c>
      <c r="G46" s="8" t="s">
        <v>172</v>
      </c>
      <c r="H46" s="4" t="s">
        <v>173</v>
      </c>
      <c r="I46" s="8" t="s">
        <v>62</v>
      </c>
      <c r="J46" s="17"/>
      <c r="K46" s="17"/>
      <c r="L46" s="4" t="s">
        <v>61</v>
      </c>
      <c r="M46" s="18"/>
      <c r="N46" s="18"/>
      <c r="O46" s="18"/>
      <c r="P46" s="8" t="s">
        <v>63</v>
      </c>
      <c r="Q46" s="19"/>
      <c r="R46" s="19"/>
      <c r="S46" s="19"/>
      <c r="T46" s="4" t="s">
        <v>61</v>
      </c>
      <c r="U46" s="12"/>
      <c r="V46" s="4"/>
    </row>
    <row r="47" customFormat="false" ht="39.55" hidden="false" customHeight="false" outlineLevel="0" collapsed="false">
      <c r="A47" s="4" t="n">
        <v>46</v>
      </c>
      <c r="B47" s="8" t="s">
        <v>28</v>
      </c>
      <c r="C47" s="4" t="s">
        <v>185</v>
      </c>
      <c r="D47" s="4" t="s">
        <v>186</v>
      </c>
      <c r="E47" s="4" t="s">
        <v>58</v>
      </c>
      <c r="F47" s="4" t="s">
        <v>171</v>
      </c>
      <c r="G47" s="8" t="s">
        <v>172</v>
      </c>
      <c r="H47" s="4" t="s">
        <v>173</v>
      </c>
      <c r="I47" s="8" t="s">
        <v>62</v>
      </c>
      <c r="J47" s="17"/>
      <c r="K47" s="17"/>
      <c r="L47" s="4" t="s">
        <v>61</v>
      </c>
      <c r="M47" s="18"/>
      <c r="N47" s="18" t="n">
        <v>1.8</v>
      </c>
      <c r="O47" s="18" t="n">
        <v>1</v>
      </c>
      <c r="P47" s="8" t="s">
        <v>174</v>
      </c>
      <c r="Q47" s="19"/>
      <c r="R47" s="19"/>
      <c r="S47" s="19"/>
      <c r="T47" s="4" t="s">
        <v>79</v>
      </c>
      <c r="U47" s="12"/>
      <c r="V47" s="4"/>
    </row>
    <row r="48" customFormat="false" ht="39.55" hidden="false" customHeight="false" outlineLevel="0" collapsed="false">
      <c r="A48" s="4" t="n">
        <v>47</v>
      </c>
      <c r="B48" s="8" t="s">
        <v>28</v>
      </c>
      <c r="C48" s="4" t="s">
        <v>187</v>
      </c>
      <c r="D48" s="4" t="s">
        <v>188</v>
      </c>
      <c r="E48" s="4" t="s">
        <v>58</v>
      </c>
      <c r="F48" s="4" t="s">
        <v>171</v>
      </c>
      <c r="G48" s="8" t="s">
        <v>172</v>
      </c>
      <c r="H48" s="4" t="s">
        <v>173</v>
      </c>
      <c r="I48" s="8" t="s">
        <v>62</v>
      </c>
      <c r="J48" s="17"/>
      <c r="K48" s="17"/>
      <c r="L48" s="4" t="s">
        <v>61</v>
      </c>
      <c r="M48" s="18"/>
      <c r="N48" s="18" t="n">
        <v>2</v>
      </c>
      <c r="O48" s="18" t="n">
        <v>1</v>
      </c>
      <c r="P48" s="8" t="s">
        <v>174</v>
      </c>
      <c r="Q48" s="19"/>
      <c r="R48" s="19"/>
      <c r="S48" s="19"/>
      <c r="T48" s="4" t="s">
        <v>79</v>
      </c>
      <c r="U48" s="12"/>
      <c r="V48" s="8" t="s">
        <v>189</v>
      </c>
    </row>
    <row r="49" customFormat="false" ht="26.85" hidden="false" customHeight="false" outlineLevel="0" collapsed="false">
      <c r="A49" s="4" t="n">
        <v>48</v>
      </c>
      <c r="B49" s="8" t="s">
        <v>28</v>
      </c>
      <c r="C49" s="4" t="s">
        <v>190</v>
      </c>
      <c r="D49" s="8" t="s">
        <v>191</v>
      </c>
      <c r="E49" s="4" t="s">
        <v>192</v>
      </c>
      <c r="F49" s="4" t="s">
        <v>171</v>
      </c>
      <c r="G49" s="8" t="s">
        <v>172</v>
      </c>
      <c r="H49" s="4" t="s">
        <v>193</v>
      </c>
      <c r="I49" s="8" t="s">
        <v>62</v>
      </c>
      <c r="J49" s="17"/>
      <c r="K49" s="17"/>
      <c r="L49" s="4" t="s">
        <v>61</v>
      </c>
      <c r="M49" s="18"/>
      <c r="N49" s="18" t="n">
        <v>120</v>
      </c>
      <c r="O49" s="18" t="n">
        <v>65</v>
      </c>
      <c r="P49" s="8" t="s">
        <v>78</v>
      </c>
      <c r="Q49" s="19"/>
      <c r="R49" s="19"/>
      <c r="S49" s="19"/>
      <c r="T49" s="4" t="s">
        <v>79</v>
      </c>
      <c r="U49" s="12"/>
      <c r="V49" s="8" t="s">
        <v>194</v>
      </c>
    </row>
    <row r="50" customFormat="false" ht="26.85" hidden="false" customHeight="false" outlineLevel="0" collapsed="false">
      <c r="A50" s="4" t="n">
        <v>49</v>
      </c>
      <c r="B50" s="8" t="s">
        <v>28</v>
      </c>
      <c r="C50" s="4" t="s">
        <v>195</v>
      </c>
      <c r="D50" s="8" t="s">
        <v>196</v>
      </c>
      <c r="E50" s="4" t="s">
        <v>192</v>
      </c>
      <c r="F50" s="4" t="s">
        <v>171</v>
      </c>
      <c r="G50" s="8" t="s">
        <v>172</v>
      </c>
      <c r="H50" s="4" t="s">
        <v>197</v>
      </c>
      <c r="I50" s="8" t="s">
        <v>62</v>
      </c>
      <c r="J50" s="17"/>
      <c r="K50" s="17"/>
      <c r="L50" s="4" t="s">
        <v>61</v>
      </c>
      <c r="M50" s="18"/>
      <c r="N50" s="18" t="n">
        <v>15</v>
      </c>
      <c r="O50" s="18" t="n">
        <v>8</v>
      </c>
      <c r="P50" s="8" t="s">
        <v>78</v>
      </c>
      <c r="Q50" s="19"/>
      <c r="R50" s="19"/>
      <c r="S50" s="19"/>
      <c r="T50" s="4" t="s">
        <v>79</v>
      </c>
      <c r="U50" s="12"/>
      <c r="V50" s="8" t="s">
        <v>198</v>
      </c>
    </row>
    <row r="51" customFormat="false" ht="26.85" hidden="false" customHeight="false" outlineLevel="0" collapsed="false">
      <c r="A51" s="4" t="n">
        <v>50</v>
      </c>
      <c r="B51" s="8" t="s">
        <v>199</v>
      </c>
      <c r="C51" s="4" t="s">
        <v>200</v>
      </c>
      <c r="D51" s="20" t="s">
        <v>201</v>
      </c>
      <c r="E51" s="4" t="s">
        <v>202</v>
      </c>
      <c r="F51" s="4" t="s">
        <v>59</v>
      </c>
      <c r="G51" s="4" t="s">
        <v>203</v>
      </c>
      <c r="H51" s="4" t="s">
        <v>204</v>
      </c>
      <c r="I51" s="4" t="s">
        <v>205</v>
      </c>
      <c r="J51" s="17" t="n">
        <v>2800</v>
      </c>
      <c r="K51" s="17"/>
      <c r="L51" s="4" t="s">
        <v>206</v>
      </c>
      <c r="M51" s="18" t="n">
        <v>3250</v>
      </c>
      <c r="N51" s="18" t="n">
        <v>3700</v>
      </c>
      <c r="O51" s="18" t="n">
        <v>3450</v>
      </c>
      <c r="P51" s="8" t="s">
        <v>78</v>
      </c>
      <c r="Q51" s="19"/>
      <c r="R51" s="19"/>
      <c r="S51" s="19"/>
      <c r="T51" s="4" t="s">
        <v>83</v>
      </c>
      <c r="U51" s="12" t="s">
        <v>84</v>
      </c>
      <c r="V51" s="4"/>
    </row>
    <row r="52" customFormat="false" ht="26.85" hidden="false" customHeight="false" outlineLevel="0" collapsed="false">
      <c r="A52" s="4" t="n">
        <v>51</v>
      </c>
      <c r="B52" s="8" t="s">
        <v>199</v>
      </c>
      <c r="C52" s="4" t="s">
        <v>200</v>
      </c>
      <c r="D52" s="20" t="s">
        <v>201</v>
      </c>
      <c r="E52" s="4" t="s">
        <v>202</v>
      </c>
      <c r="F52" s="4" t="s">
        <v>59</v>
      </c>
      <c r="G52" s="4" t="s">
        <v>203</v>
      </c>
      <c r="H52" s="4" t="s">
        <v>204</v>
      </c>
      <c r="I52" s="4" t="s">
        <v>207</v>
      </c>
      <c r="J52" s="17" t="n">
        <v>3300</v>
      </c>
      <c r="K52" s="17"/>
      <c r="L52" s="4" t="s">
        <v>206</v>
      </c>
      <c r="M52" s="18" t="n">
        <v>4350</v>
      </c>
      <c r="N52" s="18" t="n">
        <v>4850</v>
      </c>
      <c r="O52" s="18" t="n">
        <v>4600</v>
      </c>
      <c r="P52" s="8" t="s">
        <v>78</v>
      </c>
      <c r="Q52" s="19"/>
      <c r="R52" s="19"/>
      <c r="S52" s="19"/>
      <c r="T52" s="4" t="s">
        <v>83</v>
      </c>
      <c r="U52" s="12" t="s">
        <v>84</v>
      </c>
      <c r="V52" s="4"/>
    </row>
    <row r="53" customFormat="false" ht="26.85" hidden="false" customHeight="false" outlineLevel="0" collapsed="false">
      <c r="A53" s="4" t="n">
        <v>52</v>
      </c>
      <c r="B53" s="8" t="s">
        <v>199</v>
      </c>
      <c r="C53" s="4" t="s">
        <v>208</v>
      </c>
      <c r="D53" s="8" t="s">
        <v>209</v>
      </c>
      <c r="E53" s="4" t="s">
        <v>58</v>
      </c>
      <c r="F53" s="4" t="s">
        <v>59</v>
      </c>
      <c r="G53" s="4" t="s">
        <v>203</v>
      </c>
      <c r="H53" s="4" t="s">
        <v>61</v>
      </c>
      <c r="I53" s="4" t="s">
        <v>205</v>
      </c>
      <c r="J53" s="17"/>
      <c r="K53" s="17"/>
      <c r="L53" s="4" t="s">
        <v>61</v>
      </c>
      <c r="M53" s="18"/>
      <c r="N53" s="18" t="n">
        <v>12</v>
      </c>
      <c r="O53" s="18" t="n">
        <v>9.5</v>
      </c>
      <c r="P53" s="8" t="s">
        <v>78</v>
      </c>
      <c r="Q53" s="19"/>
      <c r="R53" s="19"/>
      <c r="S53" s="19"/>
      <c r="T53" s="4" t="s">
        <v>79</v>
      </c>
      <c r="U53" s="12"/>
      <c r="V53" s="4"/>
    </row>
    <row r="54" customFormat="false" ht="26.85" hidden="false" customHeight="false" outlineLevel="0" collapsed="false">
      <c r="A54" s="4" t="n">
        <v>53</v>
      </c>
      <c r="B54" s="8" t="s">
        <v>199</v>
      </c>
      <c r="C54" s="4" t="s">
        <v>208</v>
      </c>
      <c r="D54" s="8" t="s">
        <v>209</v>
      </c>
      <c r="E54" s="4" t="s">
        <v>58</v>
      </c>
      <c r="F54" s="4" t="s">
        <v>59</v>
      </c>
      <c r="G54" s="4" t="s">
        <v>203</v>
      </c>
      <c r="H54" s="4" t="s">
        <v>61</v>
      </c>
      <c r="I54" s="4" t="s">
        <v>207</v>
      </c>
      <c r="J54" s="17"/>
      <c r="K54" s="17"/>
      <c r="L54" s="4" t="s">
        <v>61</v>
      </c>
      <c r="M54" s="18"/>
      <c r="N54" s="18" t="n">
        <v>5</v>
      </c>
      <c r="O54" s="18" t="n">
        <v>3</v>
      </c>
      <c r="P54" s="8" t="s">
        <v>78</v>
      </c>
      <c r="Q54" s="19"/>
      <c r="R54" s="19"/>
      <c r="S54" s="19"/>
      <c r="T54" s="4" t="s">
        <v>79</v>
      </c>
      <c r="U54" s="12"/>
      <c r="V54" s="4"/>
    </row>
    <row r="55" customFormat="false" ht="26.85" hidden="false" customHeight="false" outlineLevel="0" collapsed="false">
      <c r="A55" s="4" t="n">
        <v>54</v>
      </c>
      <c r="B55" s="8" t="s">
        <v>199</v>
      </c>
      <c r="C55" s="4" t="s">
        <v>210</v>
      </c>
      <c r="D55" s="20" t="s">
        <v>211</v>
      </c>
      <c r="E55" s="4" t="s">
        <v>58</v>
      </c>
      <c r="F55" s="4" t="s">
        <v>59</v>
      </c>
      <c r="G55" s="4" t="s">
        <v>203</v>
      </c>
      <c r="H55" s="4" t="s">
        <v>212</v>
      </c>
      <c r="I55" s="4" t="s">
        <v>205</v>
      </c>
      <c r="J55" s="17"/>
      <c r="K55" s="17" t="n">
        <v>3.5</v>
      </c>
      <c r="L55" s="4" t="s">
        <v>206</v>
      </c>
      <c r="M55" s="18" t="n">
        <v>2.3</v>
      </c>
      <c r="N55" s="18" t="n">
        <v>3</v>
      </c>
      <c r="O55" s="18" t="n">
        <v>2.6</v>
      </c>
      <c r="P55" s="8" t="s">
        <v>78</v>
      </c>
      <c r="Q55" s="19"/>
      <c r="R55" s="19"/>
      <c r="S55" s="19"/>
      <c r="T55" s="4" t="s">
        <v>83</v>
      </c>
      <c r="U55" s="12" t="s">
        <v>84</v>
      </c>
      <c r="V55" s="8" t="s">
        <v>213</v>
      </c>
    </row>
    <row r="56" customFormat="false" ht="26.85" hidden="false" customHeight="false" outlineLevel="0" collapsed="false">
      <c r="A56" s="4" t="n">
        <v>55</v>
      </c>
      <c r="B56" s="8" t="s">
        <v>199</v>
      </c>
      <c r="C56" s="4" t="s">
        <v>210</v>
      </c>
      <c r="D56" s="20" t="s">
        <v>211</v>
      </c>
      <c r="E56" s="4" t="s">
        <v>58</v>
      </c>
      <c r="F56" s="4" t="s">
        <v>59</v>
      </c>
      <c r="G56" s="4" t="s">
        <v>203</v>
      </c>
      <c r="H56" s="4" t="s">
        <v>212</v>
      </c>
      <c r="I56" s="4" t="s">
        <v>207</v>
      </c>
      <c r="J56" s="17"/>
      <c r="K56" s="17" t="n">
        <v>4.5</v>
      </c>
      <c r="L56" s="4" t="s">
        <v>206</v>
      </c>
      <c r="M56" s="18" t="n">
        <v>2.9</v>
      </c>
      <c r="N56" s="18" t="n">
        <v>3.6</v>
      </c>
      <c r="O56" s="18" t="n">
        <v>3.2</v>
      </c>
      <c r="P56" s="8" t="s">
        <v>78</v>
      </c>
      <c r="Q56" s="19"/>
      <c r="R56" s="19"/>
      <c r="S56" s="19"/>
      <c r="T56" s="4" t="s">
        <v>83</v>
      </c>
      <c r="U56" s="12" t="s">
        <v>84</v>
      </c>
      <c r="V56" s="8" t="s">
        <v>213</v>
      </c>
    </row>
    <row r="57" customFormat="false" ht="26.85" hidden="false" customHeight="false" outlineLevel="0" collapsed="false">
      <c r="A57" s="4" t="n">
        <v>56</v>
      </c>
      <c r="B57" s="8" t="s">
        <v>199</v>
      </c>
      <c r="C57" s="4" t="s">
        <v>214</v>
      </c>
      <c r="D57" s="8" t="s">
        <v>215</v>
      </c>
      <c r="E57" s="4" t="s">
        <v>58</v>
      </c>
      <c r="F57" s="4" t="s">
        <v>59</v>
      </c>
      <c r="G57" s="4" t="s">
        <v>203</v>
      </c>
      <c r="H57" s="4" t="s">
        <v>216</v>
      </c>
      <c r="I57" s="4" t="s">
        <v>205</v>
      </c>
      <c r="J57" s="17"/>
      <c r="K57" s="17" t="n">
        <v>5</v>
      </c>
      <c r="L57" s="4" t="s">
        <v>217</v>
      </c>
      <c r="M57" s="18"/>
      <c r="N57" s="18" t="n">
        <v>3.8</v>
      </c>
      <c r="O57" s="18" t="n">
        <v>2.8</v>
      </c>
      <c r="P57" s="8" t="s">
        <v>78</v>
      </c>
      <c r="Q57" s="19"/>
      <c r="R57" s="19"/>
      <c r="S57" s="19"/>
      <c r="T57" s="4" t="s">
        <v>79</v>
      </c>
      <c r="U57" s="12"/>
      <c r="V57" s="4"/>
    </row>
    <row r="58" customFormat="false" ht="26.85" hidden="false" customHeight="false" outlineLevel="0" collapsed="false">
      <c r="A58" s="4" t="n">
        <v>57</v>
      </c>
      <c r="B58" s="8" t="s">
        <v>199</v>
      </c>
      <c r="C58" s="4" t="s">
        <v>214</v>
      </c>
      <c r="D58" s="8" t="s">
        <v>215</v>
      </c>
      <c r="E58" s="4" t="s">
        <v>58</v>
      </c>
      <c r="F58" s="4" t="s">
        <v>59</v>
      </c>
      <c r="G58" s="4" t="s">
        <v>203</v>
      </c>
      <c r="H58" s="4" t="s">
        <v>216</v>
      </c>
      <c r="I58" s="4" t="s">
        <v>207</v>
      </c>
      <c r="J58" s="17"/>
      <c r="K58" s="17" t="n">
        <v>5</v>
      </c>
      <c r="L58" s="4" t="s">
        <v>217</v>
      </c>
      <c r="M58" s="18"/>
      <c r="N58" s="18" t="n">
        <v>3</v>
      </c>
      <c r="O58" s="18" t="n">
        <v>2</v>
      </c>
      <c r="P58" s="8" t="s">
        <v>78</v>
      </c>
      <c r="Q58" s="19"/>
      <c r="R58" s="19"/>
      <c r="S58" s="19"/>
      <c r="T58" s="4" t="s">
        <v>79</v>
      </c>
      <c r="U58" s="12"/>
      <c r="V58" s="4"/>
    </row>
    <row r="59" customFormat="false" ht="26.85" hidden="false" customHeight="false" outlineLevel="0" collapsed="false">
      <c r="A59" s="4" t="n">
        <v>58</v>
      </c>
      <c r="B59" s="8" t="s">
        <v>199</v>
      </c>
      <c r="C59" s="4" t="s">
        <v>218</v>
      </c>
      <c r="D59" s="8" t="s">
        <v>219</v>
      </c>
      <c r="E59" s="4" t="s">
        <v>58</v>
      </c>
      <c r="F59" s="4" t="s">
        <v>59</v>
      </c>
      <c r="G59" s="4" t="s">
        <v>203</v>
      </c>
      <c r="H59" s="4" t="s">
        <v>212</v>
      </c>
      <c r="I59" s="8" t="s">
        <v>62</v>
      </c>
      <c r="J59" s="17"/>
      <c r="K59" s="17" t="n">
        <v>5</v>
      </c>
      <c r="L59" s="4" t="s">
        <v>206</v>
      </c>
      <c r="M59" s="18"/>
      <c r="N59" s="18" t="n">
        <v>4.5</v>
      </c>
      <c r="O59" s="18"/>
      <c r="P59" s="8" t="s">
        <v>78</v>
      </c>
      <c r="Q59" s="19"/>
      <c r="R59" s="19"/>
      <c r="S59" s="19"/>
      <c r="T59" s="4" t="s">
        <v>79</v>
      </c>
      <c r="U59" s="12"/>
      <c r="V59" s="4"/>
    </row>
    <row r="60" customFormat="false" ht="64.9" hidden="false" customHeight="false" outlineLevel="0" collapsed="false">
      <c r="A60" s="4" t="n">
        <v>59</v>
      </c>
      <c r="B60" s="8" t="s">
        <v>199</v>
      </c>
      <c r="C60" s="4" t="s">
        <v>220</v>
      </c>
      <c r="D60" s="8" t="s">
        <v>221</v>
      </c>
      <c r="E60" s="4" t="s">
        <v>58</v>
      </c>
      <c r="F60" s="4" t="s">
        <v>59</v>
      </c>
      <c r="G60" s="4" t="s">
        <v>203</v>
      </c>
      <c r="H60" s="4" t="s">
        <v>222</v>
      </c>
      <c r="I60" s="4" t="s">
        <v>205</v>
      </c>
      <c r="J60" s="17"/>
      <c r="K60" s="17"/>
      <c r="L60" s="4" t="s">
        <v>61</v>
      </c>
      <c r="M60" s="18"/>
      <c r="N60" s="18" t="n">
        <v>5</v>
      </c>
      <c r="O60" s="18" t="n">
        <v>4</v>
      </c>
      <c r="P60" s="4" t="s">
        <v>223</v>
      </c>
      <c r="Q60" s="19"/>
      <c r="R60" s="19"/>
      <c r="S60" s="19"/>
      <c r="T60" s="4" t="s">
        <v>79</v>
      </c>
      <c r="U60" s="12"/>
      <c r="V60" s="8" t="s">
        <v>224</v>
      </c>
    </row>
    <row r="61" customFormat="false" ht="64.9" hidden="false" customHeight="false" outlineLevel="0" collapsed="false">
      <c r="A61" s="4" t="n">
        <v>60</v>
      </c>
      <c r="B61" s="8" t="s">
        <v>199</v>
      </c>
      <c r="C61" s="4" t="s">
        <v>220</v>
      </c>
      <c r="D61" s="8" t="s">
        <v>221</v>
      </c>
      <c r="E61" s="4" t="s">
        <v>58</v>
      </c>
      <c r="F61" s="4" t="s">
        <v>59</v>
      </c>
      <c r="G61" s="4" t="s">
        <v>203</v>
      </c>
      <c r="H61" s="4" t="s">
        <v>222</v>
      </c>
      <c r="I61" s="4" t="s">
        <v>207</v>
      </c>
      <c r="J61" s="17"/>
      <c r="K61" s="17"/>
      <c r="L61" s="4" t="s">
        <v>61</v>
      </c>
      <c r="M61" s="18"/>
      <c r="N61" s="18" t="n">
        <v>5</v>
      </c>
      <c r="O61" s="18" t="n">
        <v>1.5</v>
      </c>
      <c r="P61" s="4" t="s">
        <v>223</v>
      </c>
      <c r="Q61" s="19"/>
      <c r="R61" s="19"/>
      <c r="S61" s="19"/>
      <c r="T61" s="4" t="s">
        <v>79</v>
      </c>
      <c r="U61" s="12"/>
      <c r="V61" s="8" t="s">
        <v>224</v>
      </c>
    </row>
    <row r="62" customFormat="false" ht="26.85" hidden="false" customHeight="false" outlineLevel="0" collapsed="false">
      <c r="A62" s="4" t="n">
        <v>61</v>
      </c>
      <c r="B62" s="8" t="s">
        <v>199</v>
      </c>
      <c r="C62" s="4" t="s">
        <v>225</v>
      </c>
      <c r="D62" s="8" t="s">
        <v>226</v>
      </c>
      <c r="E62" s="4" t="s">
        <v>102</v>
      </c>
      <c r="F62" s="4" t="s">
        <v>59</v>
      </c>
      <c r="G62" s="4" t="s">
        <v>203</v>
      </c>
      <c r="H62" s="4" t="s">
        <v>61</v>
      </c>
      <c r="I62" s="8" t="s">
        <v>62</v>
      </c>
      <c r="J62" s="17"/>
      <c r="K62" s="17"/>
      <c r="L62" s="4" t="s">
        <v>61</v>
      </c>
      <c r="M62" s="18"/>
      <c r="N62" s="18"/>
      <c r="O62" s="18"/>
      <c r="P62" s="8" t="s">
        <v>105</v>
      </c>
      <c r="Q62" s="19"/>
      <c r="R62" s="19"/>
      <c r="S62" s="19"/>
      <c r="T62" s="4" t="s">
        <v>61</v>
      </c>
      <c r="U62" s="12"/>
      <c r="V62" s="4"/>
    </row>
    <row r="63" customFormat="false" ht="26.85" hidden="false" customHeight="false" outlineLevel="0" collapsed="false">
      <c r="A63" s="4" t="n">
        <v>62</v>
      </c>
      <c r="B63" s="8" t="s">
        <v>199</v>
      </c>
      <c r="C63" s="4" t="s">
        <v>227</v>
      </c>
      <c r="D63" s="8" t="s">
        <v>228</v>
      </c>
      <c r="E63" s="4" t="s">
        <v>110</v>
      </c>
      <c r="F63" s="4" t="s">
        <v>59</v>
      </c>
      <c r="G63" s="4" t="s">
        <v>203</v>
      </c>
      <c r="H63" s="4" t="s">
        <v>61</v>
      </c>
      <c r="I63" s="8" t="s">
        <v>62</v>
      </c>
      <c r="J63" s="17"/>
      <c r="K63" s="17"/>
      <c r="L63" s="4" t="s">
        <v>61</v>
      </c>
      <c r="M63" s="18" t="n">
        <v>90</v>
      </c>
      <c r="N63" s="18" t="n">
        <v>120</v>
      </c>
      <c r="O63" s="18" t="n">
        <v>105</v>
      </c>
      <c r="P63" s="8" t="s">
        <v>78</v>
      </c>
      <c r="Q63" s="19"/>
      <c r="R63" s="19"/>
      <c r="S63" s="19"/>
      <c r="T63" s="4" t="s">
        <v>79</v>
      </c>
      <c r="U63" s="12"/>
      <c r="V63" s="8" t="s">
        <v>229</v>
      </c>
    </row>
    <row r="64" customFormat="false" ht="26.85" hidden="false" customHeight="false" outlineLevel="0" collapsed="false">
      <c r="A64" s="4" t="n">
        <v>63</v>
      </c>
      <c r="B64" s="8" t="s">
        <v>30</v>
      </c>
      <c r="C64" s="4" t="s">
        <v>230</v>
      </c>
      <c r="D64" s="8" t="s">
        <v>231</v>
      </c>
      <c r="E64" s="8" t="s">
        <v>232</v>
      </c>
      <c r="F64" s="4" t="s">
        <v>171</v>
      </c>
      <c r="G64" s="8" t="s">
        <v>233</v>
      </c>
      <c r="H64" s="4" t="s">
        <v>234</v>
      </c>
      <c r="I64" s="4" t="s">
        <v>205</v>
      </c>
      <c r="J64" s="17" t="n">
        <v>60</v>
      </c>
      <c r="K64" s="17"/>
      <c r="L64" s="4" t="s">
        <v>235</v>
      </c>
      <c r="M64" s="18" t="n">
        <v>150</v>
      </c>
      <c r="N64" s="18" t="n">
        <v>300</v>
      </c>
      <c r="O64" s="18" t="n">
        <v>220</v>
      </c>
      <c r="P64" s="8" t="s">
        <v>78</v>
      </c>
      <c r="Q64" s="19"/>
      <c r="R64" s="19"/>
      <c r="S64" s="19"/>
      <c r="T64" s="4" t="s">
        <v>79</v>
      </c>
      <c r="U64" s="12"/>
      <c r="V64" s="4"/>
    </row>
    <row r="65" customFormat="false" ht="26.85" hidden="false" customHeight="false" outlineLevel="0" collapsed="false">
      <c r="A65" s="4" t="n">
        <v>64</v>
      </c>
      <c r="B65" s="8" t="s">
        <v>30</v>
      </c>
      <c r="C65" s="4" t="s">
        <v>230</v>
      </c>
      <c r="D65" s="8" t="s">
        <v>231</v>
      </c>
      <c r="E65" s="8" t="s">
        <v>232</v>
      </c>
      <c r="F65" s="4" t="s">
        <v>171</v>
      </c>
      <c r="G65" s="8" t="s">
        <v>233</v>
      </c>
      <c r="H65" s="4" t="s">
        <v>234</v>
      </c>
      <c r="I65" s="4" t="s">
        <v>207</v>
      </c>
      <c r="J65" s="17" t="n">
        <v>60</v>
      </c>
      <c r="K65" s="17"/>
      <c r="L65" s="4" t="s">
        <v>235</v>
      </c>
      <c r="M65" s="18" t="n">
        <v>120</v>
      </c>
      <c r="N65" s="18" t="n">
        <v>260</v>
      </c>
      <c r="O65" s="18" t="n">
        <v>180</v>
      </c>
      <c r="P65" s="8" t="s">
        <v>78</v>
      </c>
      <c r="Q65" s="19"/>
      <c r="R65" s="19"/>
      <c r="S65" s="19"/>
      <c r="T65" s="4" t="s">
        <v>79</v>
      </c>
      <c r="U65" s="12"/>
      <c r="V65" s="4"/>
    </row>
    <row r="66" customFormat="false" ht="26.85" hidden="false" customHeight="false" outlineLevel="0" collapsed="false">
      <c r="A66" s="4" t="n">
        <v>65</v>
      </c>
      <c r="B66" s="8" t="s">
        <v>30</v>
      </c>
      <c r="C66" s="4" t="s">
        <v>236</v>
      </c>
      <c r="D66" s="8" t="s">
        <v>237</v>
      </c>
      <c r="E66" s="8" t="s">
        <v>232</v>
      </c>
      <c r="F66" s="4" t="s">
        <v>171</v>
      </c>
      <c r="G66" s="8" t="s">
        <v>233</v>
      </c>
      <c r="H66" s="4" t="s">
        <v>234</v>
      </c>
      <c r="I66" s="4" t="s">
        <v>205</v>
      </c>
      <c r="J66" s="17"/>
      <c r="K66" s="17" t="n">
        <v>600</v>
      </c>
      <c r="L66" s="4" t="s">
        <v>238</v>
      </c>
      <c r="M66" s="18"/>
      <c r="N66" s="18" t="n">
        <v>420</v>
      </c>
      <c r="O66" s="18" t="n">
        <v>300</v>
      </c>
      <c r="P66" s="8" t="s">
        <v>78</v>
      </c>
      <c r="Q66" s="19"/>
      <c r="R66" s="19"/>
      <c r="S66" s="19"/>
      <c r="T66" s="4" t="s">
        <v>79</v>
      </c>
      <c r="U66" s="12"/>
      <c r="V66" s="4"/>
    </row>
    <row r="67" customFormat="false" ht="26.85" hidden="false" customHeight="false" outlineLevel="0" collapsed="false">
      <c r="A67" s="4" t="n">
        <v>66</v>
      </c>
      <c r="B67" s="8" t="s">
        <v>30</v>
      </c>
      <c r="C67" s="4" t="s">
        <v>236</v>
      </c>
      <c r="D67" s="8" t="s">
        <v>237</v>
      </c>
      <c r="E67" s="8" t="s">
        <v>232</v>
      </c>
      <c r="F67" s="4" t="s">
        <v>171</v>
      </c>
      <c r="G67" s="8" t="s">
        <v>233</v>
      </c>
      <c r="H67" s="4" t="s">
        <v>234</v>
      </c>
      <c r="I67" s="4" t="s">
        <v>207</v>
      </c>
      <c r="J67" s="17"/>
      <c r="K67" s="17" t="n">
        <v>600</v>
      </c>
      <c r="L67" s="4" t="s">
        <v>238</v>
      </c>
      <c r="M67" s="18"/>
      <c r="N67" s="18" t="n">
        <v>380</v>
      </c>
      <c r="O67" s="18" t="n">
        <v>260</v>
      </c>
      <c r="P67" s="8" t="s">
        <v>78</v>
      </c>
      <c r="Q67" s="19"/>
      <c r="R67" s="19"/>
      <c r="S67" s="19"/>
      <c r="T67" s="4" t="s">
        <v>79</v>
      </c>
      <c r="U67" s="12"/>
      <c r="V67" s="4"/>
    </row>
    <row r="68" customFormat="false" ht="26.85" hidden="false" customHeight="false" outlineLevel="0" collapsed="false">
      <c r="A68" s="4" t="n">
        <v>67</v>
      </c>
      <c r="B68" s="8" t="s">
        <v>30</v>
      </c>
      <c r="C68" s="4" t="s">
        <v>239</v>
      </c>
      <c r="D68" s="8" t="s">
        <v>240</v>
      </c>
      <c r="E68" s="4" t="s">
        <v>58</v>
      </c>
      <c r="F68" s="4" t="s">
        <v>171</v>
      </c>
      <c r="G68" s="8" t="s">
        <v>233</v>
      </c>
      <c r="H68" s="4" t="s">
        <v>241</v>
      </c>
      <c r="I68" s="8" t="s">
        <v>62</v>
      </c>
      <c r="J68" s="17"/>
      <c r="K68" s="17" t="n">
        <v>0.8</v>
      </c>
      <c r="L68" s="4" t="s">
        <v>242</v>
      </c>
      <c r="M68" s="18"/>
      <c r="N68" s="18" t="n">
        <v>0.3</v>
      </c>
      <c r="O68" s="18" t="n">
        <v>0.1</v>
      </c>
      <c r="P68" s="8" t="s">
        <v>78</v>
      </c>
      <c r="Q68" s="19"/>
      <c r="R68" s="19"/>
      <c r="S68" s="19"/>
      <c r="T68" s="4" t="s">
        <v>79</v>
      </c>
      <c r="U68" s="12"/>
      <c r="V68" s="4"/>
    </row>
    <row r="69" customFormat="false" ht="52.2" hidden="false" customHeight="false" outlineLevel="0" collapsed="false">
      <c r="A69" s="4" t="n">
        <v>68</v>
      </c>
      <c r="B69" s="8" t="s">
        <v>30</v>
      </c>
      <c r="C69" s="4" t="s">
        <v>243</v>
      </c>
      <c r="D69" s="20" t="s">
        <v>244</v>
      </c>
      <c r="E69" s="4" t="s">
        <v>192</v>
      </c>
      <c r="F69" s="4" t="s">
        <v>171</v>
      </c>
      <c r="G69" s="8" t="s">
        <v>233</v>
      </c>
      <c r="H69" s="4" t="s">
        <v>245</v>
      </c>
      <c r="I69" s="8" t="s">
        <v>62</v>
      </c>
      <c r="J69" s="17"/>
      <c r="K69" s="17" t="n">
        <v>20</v>
      </c>
      <c r="L69" s="8" t="s">
        <v>246</v>
      </c>
      <c r="M69" s="18"/>
      <c r="N69" s="18" t="n">
        <v>18</v>
      </c>
      <c r="O69" s="18" t="n">
        <v>8</v>
      </c>
      <c r="P69" s="8" t="s">
        <v>78</v>
      </c>
      <c r="Q69" s="19"/>
      <c r="R69" s="19"/>
      <c r="S69" s="19"/>
      <c r="T69" s="4" t="s">
        <v>79</v>
      </c>
      <c r="U69" s="12" t="s">
        <v>84</v>
      </c>
      <c r="V69" s="8" t="s">
        <v>247</v>
      </c>
    </row>
    <row r="70" customFormat="false" ht="26.85" hidden="false" customHeight="false" outlineLevel="0" collapsed="false">
      <c r="A70" s="4" t="n">
        <v>69</v>
      </c>
      <c r="B70" s="8" t="s">
        <v>30</v>
      </c>
      <c r="C70" s="4" t="s">
        <v>248</v>
      </c>
      <c r="D70" s="4" t="s">
        <v>249</v>
      </c>
      <c r="E70" s="4" t="s">
        <v>250</v>
      </c>
      <c r="F70" s="4" t="s">
        <v>171</v>
      </c>
      <c r="G70" s="8" t="s">
        <v>233</v>
      </c>
      <c r="H70" s="4" t="s">
        <v>251</v>
      </c>
      <c r="I70" s="4" t="s">
        <v>207</v>
      </c>
      <c r="J70" s="17" t="n">
        <v>10</v>
      </c>
      <c r="K70" s="17"/>
      <c r="L70" s="4" t="s">
        <v>206</v>
      </c>
      <c r="M70" s="18" t="n">
        <v>16</v>
      </c>
      <c r="N70" s="18"/>
      <c r="O70" s="18" t="n">
        <v>20</v>
      </c>
      <c r="P70" s="8" t="s">
        <v>78</v>
      </c>
      <c r="Q70" s="19"/>
      <c r="R70" s="19"/>
      <c r="S70" s="19"/>
      <c r="T70" s="4" t="s">
        <v>83</v>
      </c>
      <c r="U70" s="12"/>
      <c r="V70" s="4"/>
    </row>
    <row r="71" customFormat="false" ht="26.85" hidden="false" customHeight="false" outlineLevel="0" collapsed="false">
      <c r="A71" s="4" t="n">
        <v>70</v>
      </c>
      <c r="B71" s="8" t="s">
        <v>30</v>
      </c>
      <c r="C71" s="4" t="s">
        <v>252</v>
      </c>
      <c r="D71" s="21" t="s">
        <v>253</v>
      </c>
      <c r="E71" s="4" t="s">
        <v>250</v>
      </c>
      <c r="F71" s="4" t="s">
        <v>171</v>
      </c>
      <c r="G71" s="8" t="s">
        <v>233</v>
      </c>
      <c r="H71" s="4" t="s">
        <v>251</v>
      </c>
      <c r="I71" s="4" t="s">
        <v>205</v>
      </c>
      <c r="J71" s="17" t="n">
        <v>12.5</v>
      </c>
      <c r="K71" s="17"/>
      <c r="L71" s="4" t="s">
        <v>206</v>
      </c>
      <c r="M71" s="18" t="n">
        <v>25</v>
      </c>
      <c r="N71" s="18"/>
      <c r="O71" s="18" t="n">
        <v>29.5</v>
      </c>
      <c r="P71" s="8" t="s">
        <v>78</v>
      </c>
      <c r="Q71" s="19"/>
      <c r="R71" s="19"/>
      <c r="S71" s="19"/>
      <c r="T71" s="4" t="s">
        <v>83</v>
      </c>
      <c r="U71" s="12" t="s">
        <v>84</v>
      </c>
      <c r="V71" s="4"/>
    </row>
    <row r="72" customFormat="false" ht="26.85" hidden="false" customHeight="false" outlineLevel="0" collapsed="false">
      <c r="A72" s="4" t="n">
        <v>71</v>
      </c>
      <c r="B72" s="8" t="s">
        <v>30</v>
      </c>
      <c r="C72" s="4" t="s">
        <v>252</v>
      </c>
      <c r="D72" s="21" t="s">
        <v>253</v>
      </c>
      <c r="E72" s="4" t="s">
        <v>250</v>
      </c>
      <c r="F72" s="4" t="s">
        <v>171</v>
      </c>
      <c r="G72" s="8" t="s">
        <v>233</v>
      </c>
      <c r="H72" s="4" t="s">
        <v>251</v>
      </c>
      <c r="I72" s="4" t="s">
        <v>207</v>
      </c>
      <c r="J72" s="17" t="n">
        <v>20</v>
      </c>
      <c r="K72" s="17"/>
      <c r="L72" s="4" t="s">
        <v>206</v>
      </c>
      <c r="M72" s="18" t="n">
        <v>32</v>
      </c>
      <c r="N72" s="18"/>
      <c r="O72" s="18" t="n">
        <v>37</v>
      </c>
      <c r="P72" s="8" t="s">
        <v>78</v>
      </c>
      <c r="Q72" s="19"/>
      <c r="R72" s="19"/>
      <c r="S72" s="19"/>
      <c r="T72" s="4" t="s">
        <v>83</v>
      </c>
      <c r="U72" s="12" t="s">
        <v>84</v>
      </c>
      <c r="V72" s="4"/>
    </row>
    <row r="73" customFormat="false" ht="26.85" hidden="false" customHeight="false" outlineLevel="0" collapsed="false">
      <c r="A73" s="4" t="n">
        <v>72</v>
      </c>
      <c r="B73" s="8" t="s">
        <v>30</v>
      </c>
      <c r="C73" s="4" t="s">
        <v>254</v>
      </c>
      <c r="D73" s="21" t="s">
        <v>255</v>
      </c>
      <c r="E73" s="4" t="s">
        <v>250</v>
      </c>
      <c r="F73" s="4" t="s">
        <v>171</v>
      </c>
      <c r="G73" s="8" t="s">
        <v>233</v>
      </c>
      <c r="H73" s="4" t="s">
        <v>251</v>
      </c>
      <c r="I73" s="4" t="s">
        <v>205</v>
      </c>
      <c r="J73" s="17" t="n">
        <v>22.5</v>
      </c>
      <c r="K73" s="17"/>
      <c r="L73" s="4" t="s">
        <v>206</v>
      </c>
      <c r="M73" s="18" t="n">
        <v>36</v>
      </c>
      <c r="N73" s="18"/>
      <c r="O73" s="18" t="n">
        <v>40</v>
      </c>
      <c r="P73" s="8" t="s">
        <v>78</v>
      </c>
      <c r="Q73" s="19"/>
      <c r="R73" s="19"/>
      <c r="S73" s="19"/>
      <c r="T73" s="4" t="s">
        <v>83</v>
      </c>
      <c r="U73" s="12" t="s">
        <v>84</v>
      </c>
      <c r="V73" s="4"/>
    </row>
    <row r="74" customFormat="false" ht="26.85" hidden="false" customHeight="false" outlineLevel="0" collapsed="false">
      <c r="A74" s="4" t="n">
        <v>73</v>
      </c>
      <c r="B74" s="8" t="s">
        <v>30</v>
      </c>
      <c r="C74" s="4" t="s">
        <v>254</v>
      </c>
      <c r="D74" s="21" t="s">
        <v>255</v>
      </c>
      <c r="E74" s="4" t="s">
        <v>250</v>
      </c>
      <c r="F74" s="4" t="s">
        <v>171</v>
      </c>
      <c r="G74" s="8" t="s">
        <v>233</v>
      </c>
      <c r="H74" s="4" t="s">
        <v>251</v>
      </c>
      <c r="I74" s="4" t="s">
        <v>207</v>
      </c>
      <c r="J74" s="17" t="n">
        <v>32.5</v>
      </c>
      <c r="K74" s="17"/>
      <c r="L74" s="4" t="s">
        <v>206</v>
      </c>
      <c r="M74" s="18" t="n">
        <v>42</v>
      </c>
      <c r="N74" s="18"/>
      <c r="O74" s="18" t="n">
        <v>46</v>
      </c>
      <c r="P74" s="8" t="s">
        <v>78</v>
      </c>
      <c r="Q74" s="19"/>
      <c r="R74" s="19"/>
      <c r="S74" s="19"/>
      <c r="T74" s="4" t="s">
        <v>83</v>
      </c>
      <c r="U74" s="12" t="s">
        <v>84</v>
      </c>
      <c r="V74" s="4"/>
    </row>
    <row r="75" customFormat="false" ht="26.85" hidden="false" customHeight="false" outlineLevel="0" collapsed="false">
      <c r="A75" s="4" t="n">
        <v>74</v>
      </c>
      <c r="B75" s="8" t="s">
        <v>30</v>
      </c>
      <c r="C75" s="4" t="s">
        <v>256</v>
      </c>
      <c r="D75" s="21" t="s">
        <v>257</v>
      </c>
      <c r="E75" s="4" t="s">
        <v>250</v>
      </c>
      <c r="F75" s="4" t="s">
        <v>171</v>
      </c>
      <c r="G75" s="8" t="s">
        <v>233</v>
      </c>
      <c r="H75" s="4" t="s">
        <v>251</v>
      </c>
      <c r="I75" s="4" t="s">
        <v>205</v>
      </c>
      <c r="J75" s="17" t="n">
        <v>42.5</v>
      </c>
      <c r="K75" s="17"/>
      <c r="L75" s="4" t="s">
        <v>206</v>
      </c>
      <c r="M75" s="18" t="n">
        <v>48</v>
      </c>
      <c r="N75" s="18"/>
      <c r="O75" s="18" t="n">
        <v>53</v>
      </c>
      <c r="P75" s="8" t="s">
        <v>78</v>
      </c>
      <c r="Q75" s="19"/>
      <c r="R75" s="19"/>
      <c r="S75" s="19"/>
      <c r="T75" s="4" t="s">
        <v>83</v>
      </c>
      <c r="U75" s="12" t="s">
        <v>84</v>
      </c>
      <c r="V75" s="4"/>
    </row>
    <row r="76" customFormat="false" ht="26.85" hidden="false" customHeight="false" outlineLevel="0" collapsed="false">
      <c r="A76" s="4" t="n">
        <v>75</v>
      </c>
      <c r="B76" s="8" t="s">
        <v>30</v>
      </c>
      <c r="C76" s="4" t="s">
        <v>256</v>
      </c>
      <c r="D76" s="21" t="s">
        <v>257</v>
      </c>
      <c r="E76" s="4" t="s">
        <v>250</v>
      </c>
      <c r="F76" s="4" t="s">
        <v>171</v>
      </c>
      <c r="G76" s="8" t="s">
        <v>233</v>
      </c>
      <c r="H76" s="4" t="s">
        <v>251</v>
      </c>
      <c r="I76" s="4" t="s">
        <v>207</v>
      </c>
      <c r="J76" s="17" t="n">
        <v>47.5</v>
      </c>
      <c r="K76" s="17"/>
      <c r="L76" s="4" t="s">
        <v>206</v>
      </c>
      <c r="M76" s="18" t="n">
        <v>54</v>
      </c>
      <c r="N76" s="18"/>
      <c r="O76" s="18" t="n">
        <v>59</v>
      </c>
      <c r="P76" s="8" t="s">
        <v>78</v>
      </c>
      <c r="Q76" s="19"/>
      <c r="R76" s="19"/>
      <c r="S76" s="19"/>
      <c r="T76" s="4" t="s">
        <v>83</v>
      </c>
      <c r="U76" s="12" t="s">
        <v>84</v>
      </c>
      <c r="V76" s="4"/>
    </row>
    <row r="77" customFormat="false" ht="26.85" hidden="false" customHeight="false" outlineLevel="0" collapsed="false">
      <c r="A77" s="4" t="n">
        <v>76</v>
      </c>
      <c r="B77" s="8" t="s">
        <v>30</v>
      </c>
      <c r="C77" s="4" t="s">
        <v>258</v>
      </c>
      <c r="D77" s="21" t="s">
        <v>259</v>
      </c>
      <c r="E77" s="4" t="s">
        <v>250</v>
      </c>
      <c r="F77" s="4" t="s">
        <v>171</v>
      </c>
      <c r="G77" s="8" t="s">
        <v>233</v>
      </c>
      <c r="H77" s="4" t="s">
        <v>61</v>
      </c>
      <c r="I77" s="4" t="s">
        <v>205</v>
      </c>
      <c r="J77" s="17" t="n">
        <v>42.5</v>
      </c>
      <c r="K77" s="17"/>
      <c r="L77" s="4" t="s">
        <v>260</v>
      </c>
      <c r="M77" s="18" t="n">
        <v>48</v>
      </c>
      <c r="N77" s="18"/>
      <c r="O77" s="18" t="n">
        <v>53</v>
      </c>
      <c r="P77" s="8" t="s">
        <v>78</v>
      </c>
      <c r="Q77" s="19"/>
      <c r="R77" s="19"/>
      <c r="S77" s="19"/>
      <c r="T77" s="4" t="s">
        <v>61</v>
      </c>
      <c r="U77" s="12" t="s">
        <v>84</v>
      </c>
      <c r="V77" s="8" t="s">
        <v>261</v>
      </c>
    </row>
    <row r="78" customFormat="false" ht="26.85" hidden="false" customHeight="false" outlineLevel="0" collapsed="false">
      <c r="A78" s="4" t="n">
        <v>77</v>
      </c>
      <c r="B78" s="8" t="s">
        <v>30</v>
      </c>
      <c r="C78" s="4" t="s">
        <v>258</v>
      </c>
      <c r="D78" s="21" t="s">
        <v>259</v>
      </c>
      <c r="E78" s="4" t="s">
        <v>250</v>
      </c>
      <c r="F78" s="4" t="s">
        <v>171</v>
      </c>
      <c r="G78" s="8" t="s">
        <v>233</v>
      </c>
      <c r="H78" s="4" t="s">
        <v>61</v>
      </c>
      <c r="I78" s="4" t="s">
        <v>207</v>
      </c>
      <c r="J78" s="17" t="n">
        <v>47.5</v>
      </c>
      <c r="K78" s="17"/>
      <c r="L78" s="4" t="s">
        <v>260</v>
      </c>
      <c r="M78" s="18" t="n">
        <v>54</v>
      </c>
      <c r="N78" s="18"/>
      <c r="O78" s="18" t="n">
        <v>59</v>
      </c>
      <c r="P78" s="8" t="s">
        <v>78</v>
      </c>
      <c r="Q78" s="19"/>
      <c r="R78" s="19"/>
      <c r="S78" s="19"/>
      <c r="T78" s="4" t="s">
        <v>61</v>
      </c>
      <c r="U78" s="12" t="s">
        <v>84</v>
      </c>
      <c r="V78" s="8" t="s">
        <v>261</v>
      </c>
    </row>
    <row r="79" customFormat="false" ht="26.85" hidden="false" customHeight="false" outlineLevel="0" collapsed="false">
      <c r="A79" s="4" t="n">
        <v>78</v>
      </c>
      <c r="B79" s="8" t="s">
        <v>31</v>
      </c>
      <c r="C79" s="4" t="s">
        <v>262</v>
      </c>
      <c r="D79" s="8" t="s">
        <v>263</v>
      </c>
      <c r="E79" s="4" t="s">
        <v>110</v>
      </c>
      <c r="F79" s="4" t="s">
        <v>171</v>
      </c>
      <c r="G79" s="8" t="s">
        <v>233</v>
      </c>
      <c r="H79" s="4" t="s">
        <v>251</v>
      </c>
      <c r="I79" s="8" t="s">
        <v>62</v>
      </c>
      <c r="J79" s="17" t="n">
        <v>18</v>
      </c>
      <c r="K79" s="17" t="n">
        <v>22</v>
      </c>
      <c r="L79" s="4" t="s">
        <v>264</v>
      </c>
      <c r="M79" s="18"/>
      <c r="N79" s="18"/>
      <c r="O79" s="18" t="n">
        <v>20</v>
      </c>
      <c r="P79" s="8" t="s">
        <v>78</v>
      </c>
      <c r="Q79" s="19"/>
      <c r="R79" s="19"/>
      <c r="S79" s="19"/>
      <c r="T79" s="4" t="s">
        <v>61</v>
      </c>
      <c r="U79" s="12"/>
      <c r="V79" s="4"/>
    </row>
    <row r="80" customFormat="false" ht="26.85" hidden="false" customHeight="false" outlineLevel="0" collapsed="false">
      <c r="A80" s="4" t="n">
        <v>79</v>
      </c>
      <c r="B80" s="8" t="s">
        <v>31</v>
      </c>
      <c r="C80" s="4" t="s">
        <v>265</v>
      </c>
      <c r="D80" s="8" t="s">
        <v>266</v>
      </c>
      <c r="E80" s="4" t="s">
        <v>58</v>
      </c>
      <c r="F80" s="4" t="s">
        <v>171</v>
      </c>
      <c r="G80" s="8" t="s">
        <v>233</v>
      </c>
      <c r="H80" s="4" t="s">
        <v>251</v>
      </c>
      <c r="I80" s="8" t="s">
        <v>62</v>
      </c>
      <c r="J80" s="17" t="n">
        <v>50</v>
      </c>
      <c r="K80" s="17"/>
      <c r="L80" s="4" t="s">
        <v>267</v>
      </c>
      <c r="M80" s="18"/>
      <c r="N80" s="18"/>
      <c r="O80" s="18"/>
      <c r="P80" s="8" t="s">
        <v>78</v>
      </c>
      <c r="Q80" s="19"/>
      <c r="R80" s="19"/>
      <c r="S80" s="19"/>
      <c r="T80" s="4" t="s">
        <v>61</v>
      </c>
      <c r="U80" s="12"/>
      <c r="V80" s="4"/>
    </row>
    <row r="81" customFormat="false" ht="26.85" hidden="false" customHeight="false" outlineLevel="0" collapsed="false">
      <c r="A81" s="4" t="n">
        <v>80</v>
      </c>
      <c r="B81" s="8" t="s">
        <v>31</v>
      </c>
      <c r="C81" s="4" t="s">
        <v>268</v>
      </c>
      <c r="D81" s="8" t="s">
        <v>269</v>
      </c>
      <c r="E81" s="4" t="s">
        <v>110</v>
      </c>
      <c r="F81" s="4" t="s">
        <v>171</v>
      </c>
      <c r="G81" s="8" t="s">
        <v>233</v>
      </c>
      <c r="H81" s="4" t="s">
        <v>251</v>
      </c>
      <c r="I81" s="8" t="s">
        <v>62</v>
      </c>
      <c r="J81" s="17" t="n">
        <v>19</v>
      </c>
      <c r="K81" s="17" t="n">
        <v>21</v>
      </c>
      <c r="L81" s="4" t="s">
        <v>270</v>
      </c>
      <c r="M81" s="18"/>
      <c r="N81" s="18"/>
      <c r="O81" s="18" t="n">
        <v>20</v>
      </c>
      <c r="P81" s="8" t="s">
        <v>78</v>
      </c>
      <c r="Q81" s="19"/>
      <c r="R81" s="19"/>
      <c r="S81" s="19"/>
      <c r="T81" s="4" t="s">
        <v>61</v>
      </c>
      <c r="U81" s="12"/>
      <c r="V81" s="4"/>
    </row>
  </sheetData>
  <autoFilter ref="A1:V81"/>
  <dataValidations count="1">
    <dataValidation allowBlank="true" error="숫자만 입력하세요(단위 제외)." errorStyle="stop" errorTitle="입력 오류" operator="between" showDropDown="false" showErrorMessage="false" showInputMessage="false" sqref="Q2:S81" type="decimal">
      <formula1>-100000</formula1>
      <formula2>100000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46"/>
    <col collapsed="false" customWidth="true" hidden="false" outlineLevel="0" max="4" min="4" style="0" width="24"/>
    <col collapsed="false" customWidth="true" hidden="false" outlineLevel="0" max="5" min="5" style="0" width="18"/>
    <col collapsed="false" customWidth="true" hidden="false" outlineLevel="0" max="6" min="6" style="0" width="22"/>
  </cols>
  <sheetData>
    <row r="1" customFormat="false" ht="30" hidden="false" customHeight="true" outlineLevel="0" collapsed="false">
      <c r="A1" s="10" t="s">
        <v>271</v>
      </c>
      <c r="B1" s="10" t="s">
        <v>272</v>
      </c>
      <c r="C1" s="10" t="s">
        <v>273</v>
      </c>
      <c r="D1" s="10" t="s">
        <v>274</v>
      </c>
      <c r="E1" s="10" t="s">
        <v>275</v>
      </c>
      <c r="F1" s="10" t="s">
        <v>276</v>
      </c>
    </row>
    <row r="2" customFormat="false" ht="43.5" hidden="false" customHeight="true" outlineLevel="0" collapsed="false">
      <c r="A2" s="8" t="s">
        <v>277</v>
      </c>
      <c r="B2" s="8" t="s">
        <v>278</v>
      </c>
      <c r="C2" s="8" t="s">
        <v>279</v>
      </c>
      <c r="D2" s="8" t="s">
        <v>280</v>
      </c>
      <c r="E2" s="8" t="s">
        <v>281</v>
      </c>
      <c r="F2" s="8" t="s">
        <v>282</v>
      </c>
    </row>
    <row r="3" customFormat="false" ht="43.5" hidden="false" customHeight="true" outlineLevel="0" collapsed="false">
      <c r="A3" s="8" t="s">
        <v>283</v>
      </c>
      <c r="B3" s="8" t="s">
        <v>284</v>
      </c>
      <c r="C3" s="4" t="s">
        <v>285</v>
      </c>
      <c r="D3" s="8" t="s">
        <v>286</v>
      </c>
      <c r="E3" s="8" t="s">
        <v>287</v>
      </c>
      <c r="F3" s="8" t="s">
        <v>288</v>
      </c>
    </row>
    <row r="4" customFormat="false" ht="43.5" hidden="false" customHeight="true" outlineLevel="0" collapsed="false">
      <c r="A4" s="8" t="s">
        <v>289</v>
      </c>
      <c r="B4" s="8" t="s">
        <v>290</v>
      </c>
      <c r="C4" s="8" t="s">
        <v>291</v>
      </c>
      <c r="D4" s="8" t="s">
        <v>292</v>
      </c>
      <c r="E4" s="4" t="s">
        <v>293</v>
      </c>
      <c r="F4" s="8" t="s">
        <v>294</v>
      </c>
    </row>
    <row r="5" customFormat="false" ht="43.5" hidden="false" customHeight="true" outlineLevel="0" collapsed="false">
      <c r="A5" s="8" t="s">
        <v>295</v>
      </c>
      <c r="B5" s="8" t="s">
        <v>296</v>
      </c>
      <c r="C5" s="8" t="s">
        <v>297</v>
      </c>
      <c r="D5" s="4" t="s">
        <v>61</v>
      </c>
      <c r="E5" s="4" t="s">
        <v>61</v>
      </c>
      <c r="F5" s="4" t="s">
        <v>61</v>
      </c>
    </row>
    <row r="6" customFormat="false" ht="43.5" hidden="false" customHeight="true" outlineLevel="0" collapsed="false">
      <c r="A6" s="8" t="s">
        <v>298</v>
      </c>
      <c r="B6" s="8" t="s">
        <v>299</v>
      </c>
      <c r="C6" s="4" t="s">
        <v>300</v>
      </c>
      <c r="D6" s="4" t="s">
        <v>61</v>
      </c>
      <c r="E6" s="4" t="s">
        <v>61</v>
      </c>
      <c r="F6" s="4" t="s">
        <v>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56"/>
    <col collapsed="false" customWidth="true" hidden="false" outlineLevel="0" max="4" min="4" style="0" width="36"/>
  </cols>
  <sheetData>
    <row r="1" customFormat="false" ht="30" hidden="false" customHeight="true" outlineLevel="0" collapsed="false">
      <c r="A1" s="10" t="s">
        <v>35</v>
      </c>
      <c r="B1" s="10" t="s">
        <v>301</v>
      </c>
      <c r="C1" s="10" t="s">
        <v>302</v>
      </c>
      <c r="D1" s="10" t="s">
        <v>303</v>
      </c>
    </row>
    <row r="2" customFormat="false" ht="15" hidden="false" customHeight="false" outlineLevel="0" collapsed="false">
      <c r="A2" s="12" t="s">
        <v>79</v>
      </c>
      <c r="B2" s="8" t="s">
        <v>304</v>
      </c>
      <c r="C2" s="8" t="s">
        <v>305</v>
      </c>
      <c r="D2" s="8" t="s">
        <v>306</v>
      </c>
    </row>
    <row r="3" customFormat="false" ht="15" hidden="false" customHeight="false" outlineLevel="0" collapsed="false">
      <c r="A3" s="12" t="s">
        <v>307</v>
      </c>
      <c r="B3" s="8" t="s">
        <v>308</v>
      </c>
      <c r="C3" s="8" t="s">
        <v>309</v>
      </c>
      <c r="D3" s="8" t="s">
        <v>306</v>
      </c>
    </row>
    <row r="4" customFormat="false" ht="15" hidden="false" customHeight="false" outlineLevel="0" collapsed="false">
      <c r="A4" s="12" t="s">
        <v>310</v>
      </c>
      <c r="B4" s="8" t="s">
        <v>311</v>
      </c>
      <c r="C4" s="8" t="s">
        <v>312</v>
      </c>
      <c r="D4" s="8" t="s">
        <v>306</v>
      </c>
    </row>
    <row r="5" customFormat="false" ht="15" hidden="false" customHeight="false" outlineLevel="0" collapsed="false">
      <c r="A5" s="12" t="s">
        <v>313</v>
      </c>
      <c r="B5" s="4" t="s">
        <v>314</v>
      </c>
      <c r="C5" s="8" t="s">
        <v>315</v>
      </c>
      <c r="D5" s="8" t="s">
        <v>316</v>
      </c>
    </row>
    <row r="6" customFormat="false" ht="15" hidden="false" customHeight="false" outlineLevel="0" collapsed="false">
      <c r="A6" s="12" t="s">
        <v>317</v>
      </c>
      <c r="B6" s="4" t="s">
        <v>318</v>
      </c>
      <c r="C6" s="8" t="s">
        <v>319</v>
      </c>
      <c r="D6" s="8" t="s">
        <v>316</v>
      </c>
    </row>
    <row r="8" customFormat="false" ht="15" hidden="false" customHeight="false" outlineLevel="0" collapsed="false">
      <c r="A8" s="2" t="s">
        <v>320</v>
      </c>
    </row>
    <row r="9" customFormat="false" ht="15" hidden="false" customHeight="false" outlineLevel="0" collapsed="false">
      <c r="A9" s="16" t="s">
        <v>321</v>
      </c>
    </row>
    <row r="10" customFormat="false" ht="15" hidden="false" customHeight="false" outlineLevel="0" collapsed="false">
      <c r="A10" s="2" t="s">
        <v>322</v>
      </c>
    </row>
    <row r="11" customFormat="false" ht="15" hidden="false" customHeight="false" outlineLevel="0" collapsed="false">
      <c r="A11" s="2" t="s">
        <v>323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8"/>
    <col collapsed="false" customWidth="true" hidden="false" outlineLevel="0" max="3" min="3" style="0" width="26"/>
    <col collapsed="false" customWidth="true" hidden="false" outlineLevel="0" max="4" min="4" style="0" width="50"/>
    <col collapsed="false" customWidth="true" hidden="false" outlineLevel="0" max="5" min="5" style="0" width="30"/>
    <col collapsed="false" customWidth="true" hidden="false" outlineLevel="0" max="6" min="6" style="0" width="44"/>
    <col collapsed="false" customWidth="true" hidden="false" outlineLevel="0" max="8" min="7" style="0" width="36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9"/>
  </cols>
  <sheetData>
    <row r="1" customFormat="false" ht="30" hidden="false" customHeight="true" outlineLevel="0" collapsed="false">
      <c r="A1" s="10" t="s">
        <v>324</v>
      </c>
      <c r="B1" s="10" t="s">
        <v>325</v>
      </c>
      <c r="C1" s="10" t="s">
        <v>326</v>
      </c>
      <c r="D1" s="10" t="s">
        <v>327</v>
      </c>
      <c r="E1" s="10" t="s">
        <v>328</v>
      </c>
      <c r="F1" s="10" t="s">
        <v>329</v>
      </c>
      <c r="G1" s="10" t="s">
        <v>330</v>
      </c>
      <c r="H1" s="10" t="s">
        <v>331</v>
      </c>
      <c r="I1" s="10" t="s">
        <v>332</v>
      </c>
      <c r="J1" s="10" t="s">
        <v>333</v>
      </c>
      <c r="K1" s="10" t="s">
        <v>334</v>
      </c>
    </row>
    <row r="2" customFormat="false" ht="39.55" hidden="false" customHeight="false" outlineLevel="0" collapsed="false">
      <c r="A2" s="4" t="s">
        <v>335</v>
      </c>
      <c r="B2" s="8" t="s">
        <v>19</v>
      </c>
      <c r="C2" s="8" t="s">
        <v>336</v>
      </c>
      <c r="D2" s="8" t="s">
        <v>337</v>
      </c>
      <c r="E2" s="8" t="s">
        <v>338</v>
      </c>
      <c r="F2" s="4" t="s">
        <v>339</v>
      </c>
      <c r="G2" s="8" t="s">
        <v>340</v>
      </c>
      <c r="H2" s="8" t="s">
        <v>341</v>
      </c>
      <c r="I2" s="8" t="s">
        <v>342</v>
      </c>
      <c r="J2" s="8" t="s">
        <v>343</v>
      </c>
      <c r="K2" s="4" t="n">
        <v>0.9</v>
      </c>
    </row>
    <row r="3" customFormat="false" ht="39.55" hidden="false" customHeight="false" outlineLevel="0" collapsed="false">
      <c r="A3" s="4" t="s">
        <v>335</v>
      </c>
      <c r="B3" s="8" t="s">
        <v>19</v>
      </c>
      <c r="C3" s="8" t="s">
        <v>344</v>
      </c>
      <c r="D3" s="8" t="s">
        <v>345</v>
      </c>
      <c r="E3" s="8" t="s">
        <v>346</v>
      </c>
      <c r="F3" s="8" t="s">
        <v>347</v>
      </c>
      <c r="G3" s="4" t="s">
        <v>348</v>
      </c>
      <c r="H3" s="8" t="s">
        <v>349</v>
      </c>
      <c r="I3" s="8" t="s">
        <v>342</v>
      </c>
      <c r="J3" s="8" t="s">
        <v>350</v>
      </c>
      <c r="K3" s="4" t="n">
        <v>1</v>
      </c>
    </row>
    <row r="4" customFormat="false" ht="52.2" hidden="false" customHeight="false" outlineLevel="0" collapsed="false">
      <c r="A4" s="4" t="s">
        <v>335</v>
      </c>
      <c r="B4" s="8" t="s">
        <v>351</v>
      </c>
      <c r="C4" s="8" t="s">
        <v>352</v>
      </c>
      <c r="D4" s="4" t="s">
        <v>353</v>
      </c>
      <c r="E4" s="8" t="s">
        <v>354</v>
      </c>
      <c r="F4" s="8" t="s">
        <v>355</v>
      </c>
      <c r="G4" s="8" t="s">
        <v>356</v>
      </c>
      <c r="H4" s="8" t="s">
        <v>357</v>
      </c>
      <c r="I4" s="8" t="s">
        <v>342</v>
      </c>
      <c r="J4" s="8" t="s">
        <v>358</v>
      </c>
      <c r="K4" s="4" t="n">
        <v>1</v>
      </c>
    </row>
    <row r="5" customFormat="false" ht="39.55" hidden="false" customHeight="false" outlineLevel="0" collapsed="false">
      <c r="A5" s="4" t="s">
        <v>335</v>
      </c>
      <c r="B5" s="8" t="s">
        <v>351</v>
      </c>
      <c r="C5" s="4" t="s">
        <v>359</v>
      </c>
      <c r="D5" s="4" t="s">
        <v>360</v>
      </c>
      <c r="E5" s="8" t="s">
        <v>361</v>
      </c>
      <c r="F5" s="4" t="s">
        <v>362</v>
      </c>
      <c r="G5" s="8" t="s">
        <v>363</v>
      </c>
      <c r="H5" s="8" t="s">
        <v>364</v>
      </c>
      <c r="I5" s="8" t="s">
        <v>342</v>
      </c>
      <c r="J5" s="8" t="s">
        <v>343</v>
      </c>
      <c r="K5" s="4" t="n">
        <v>0.7</v>
      </c>
    </row>
    <row r="6" customFormat="false" ht="52.2" hidden="false" customHeight="false" outlineLevel="0" collapsed="false">
      <c r="A6" s="4" t="s">
        <v>335</v>
      </c>
      <c r="B6" s="8" t="s">
        <v>365</v>
      </c>
      <c r="C6" s="4" t="s">
        <v>366</v>
      </c>
      <c r="D6" s="8" t="s">
        <v>367</v>
      </c>
      <c r="E6" s="4" t="s">
        <v>368</v>
      </c>
      <c r="F6" s="8" t="s">
        <v>369</v>
      </c>
      <c r="G6" s="8" t="s">
        <v>370</v>
      </c>
      <c r="H6" s="8" t="s">
        <v>371</v>
      </c>
      <c r="I6" s="8" t="s">
        <v>372</v>
      </c>
      <c r="J6" s="8" t="s">
        <v>373</v>
      </c>
      <c r="K6" s="4" t="n">
        <v>0.8</v>
      </c>
    </row>
    <row r="7" customFormat="false" ht="26.85" hidden="false" customHeight="false" outlineLevel="0" collapsed="false">
      <c r="A7" s="4" t="s">
        <v>335</v>
      </c>
      <c r="B7" s="8" t="s">
        <v>374</v>
      </c>
      <c r="C7" s="8" t="s">
        <v>375</v>
      </c>
      <c r="D7" s="8" t="s">
        <v>376</v>
      </c>
      <c r="E7" s="8" t="s">
        <v>377</v>
      </c>
      <c r="F7" s="8" t="s">
        <v>378</v>
      </c>
      <c r="G7" s="8" t="s">
        <v>379</v>
      </c>
      <c r="H7" s="8" t="s">
        <v>380</v>
      </c>
      <c r="I7" s="8" t="s">
        <v>381</v>
      </c>
      <c r="J7" s="8" t="s">
        <v>382</v>
      </c>
      <c r="K7" s="4" t="n">
        <v>0.5</v>
      </c>
    </row>
    <row r="8" customFormat="false" ht="39.55" hidden="false" customHeight="false" outlineLevel="0" collapsed="false">
      <c r="A8" s="4" t="s">
        <v>335</v>
      </c>
      <c r="B8" s="8" t="s">
        <v>374</v>
      </c>
      <c r="C8" s="8" t="s">
        <v>383</v>
      </c>
      <c r="D8" s="8" t="s">
        <v>384</v>
      </c>
      <c r="E8" s="8" t="s">
        <v>385</v>
      </c>
      <c r="F8" s="4" t="s">
        <v>386</v>
      </c>
      <c r="G8" s="8" t="s">
        <v>387</v>
      </c>
      <c r="H8" s="8" t="s">
        <v>388</v>
      </c>
      <c r="I8" s="8" t="s">
        <v>381</v>
      </c>
      <c r="J8" s="8" t="s">
        <v>343</v>
      </c>
      <c r="K8" s="4" t="n">
        <v>0.5</v>
      </c>
    </row>
    <row r="9" customFormat="false" ht="39.55" hidden="false" customHeight="false" outlineLevel="0" collapsed="false">
      <c r="A9" s="4" t="s">
        <v>335</v>
      </c>
      <c r="B9" s="8" t="s">
        <v>389</v>
      </c>
      <c r="C9" s="8" t="s">
        <v>390</v>
      </c>
      <c r="D9" s="8" t="s">
        <v>391</v>
      </c>
      <c r="E9" s="4" t="s">
        <v>392</v>
      </c>
      <c r="F9" s="8" t="s">
        <v>393</v>
      </c>
      <c r="G9" s="8" t="s">
        <v>394</v>
      </c>
      <c r="H9" s="8" t="s">
        <v>395</v>
      </c>
      <c r="I9" s="8" t="s">
        <v>396</v>
      </c>
      <c r="J9" s="8" t="s">
        <v>389</v>
      </c>
      <c r="K9" s="4" t="n">
        <v>0.35</v>
      </c>
    </row>
    <row r="10" customFormat="false" ht="26.85" hidden="false" customHeight="false" outlineLevel="0" collapsed="false">
      <c r="A10" s="4" t="s">
        <v>335</v>
      </c>
      <c r="B10" s="8" t="s">
        <v>351</v>
      </c>
      <c r="C10" s="8" t="s">
        <v>397</v>
      </c>
      <c r="D10" s="8" t="s">
        <v>398</v>
      </c>
      <c r="E10" s="8" t="s">
        <v>399</v>
      </c>
      <c r="F10" s="8" t="s">
        <v>400</v>
      </c>
      <c r="G10" s="8" t="s">
        <v>401</v>
      </c>
      <c r="H10" s="8" t="s">
        <v>402</v>
      </c>
      <c r="I10" s="8" t="s">
        <v>396</v>
      </c>
      <c r="J10" s="8" t="s">
        <v>358</v>
      </c>
      <c r="K10" s="4" t="n">
        <v>0.4</v>
      </c>
    </row>
    <row r="11" customFormat="false" ht="39.55" hidden="false" customHeight="false" outlineLevel="0" collapsed="false">
      <c r="A11" s="4" t="s">
        <v>403</v>
      </c>
      <c r="B11" s="8" t="s">
        <v>19</v>
      </c>
      <c r="C11" s="8" t="s">
        <v>336</v>
      </c>
      <c r="D11" s="8" t="s">
        <v>404</v>
      </c>
      <c r="E11" s="8" t="s">
        <v>338</v>
      </c>
      <c r="F11" s="4" t="s">
        <v>339</v>
      </c>
      <c r="G11" s="8" t="s">
        <v>340</v>
      </c>
      <c r="H11" s="8" t="s">
        <v>341</v>
      </c>
      <c r="I11" s="8" t="s">
        <v>342</v>
      </c>
      <c r="J11" s="8" t="s">
        <v>343</v>
      </c>
      <c r="K11" s="4" t="n">
        <v>1.3</v>
      </c>
    </row>
    <row r="12" customFormat="false" ht="39.55" hidden="false" customHeight="false" outlineLevel="0" collapsed="false">
      <c r="A12" s="4" t="s">
        <v>403</v>
      </c>
      <c r="B12" s="8" t="s">
        <v>19</v>
      </c>
      <c r="C12" s="8" t="s">
        <v>344</v>
      </c>
      <c r="D12" s="8" t="s">
        <v>345</v>
      </c>
      <c r="E12" s="8" t="s">
        <v>346</v>
      </c>
      <c r="F12" s="8" t="s">
        <v>347</v>
      </c>
      <c r="G12" s="4" t="s">
        <v>348</v>
      </c>
      <c r="H12" s="8" t="s">
        <v>349</v>
      </c>
      <c r="I12" s="8" t="s">
        <v>342</v>
      </c>
      <c r="J12" s="8" t="s">
        <v>350</v>
      </c>
      <c r="K12" s="4" t="n">
        <v>1</v>
      </c>
    </row>
    <row r="13" customFormat="false" ht="52.2" hidden="false" customHeight="false" outlineLevel="0" collapsed="false">
      <c r="A13" s="4" t="s">
        <v>403</v>
      </c>
      <c r="B13" s="8" t="s">
        <v>351</v>
      </c>
      <c r="C13" s="8" t="s">
        <v>352</v>
      </c>
      <c r="D13" s="4" t="s">
        <v>353</v>
      </c>
      <c r="E13" s="8" t="s">
        <v>354</v>
      </c>
      <c r="F13" s="8" t="s">
        <v>355</v>
      </c>
      <c r="G13" s="8" t="s">
        <v>356</v>
      </c>
      <c r="H13" s="8" t="s">
        <v>357</v>
      </c>
      <c r="I13" s="8" t="s">
        <v>342</v>
      </c>
      <c r="J13" s="8" t="s">
        <v>358</v>
      </c>
      <c r="K13" s="4" t="n">
        <v>1</v>
      </c>
    </row>
    <row r="14" customFormat="false" ht="39.55" hidden="false" customHeight="false" outlineLevel="0" collapsed="false">
      <c r="A14" s="4" t="s">
        <v>403</v>
      </c>
      <c r="B14" s="8" t="s">
        <v>351</v>
      </c>
      <c r="C14" s="4" t="s">
        <v>359</v>
      </c>
      <c r="D14" s="4" t="s">
        <v>360</v>
      </c>
      <c r="E14" s="8" t="s">
        <v>361</v>
      </c>
      <c r="F14" s="4" t="s">
        <v>362</v>
      </c>
      <c r="G14" s="8" t="s">
        <v>363</v>
      </c>
      <c r="H14" s="8" t="s">
        <v>364</v>
      </c>
      <c r="I14" s="8" t="s">
        <v>342</v>
      </c>
      <c r="J14" s="8" t="s">
        <v>343</v>
      </c>
      <c r="K14" s="4" t="n">
        <v>0.9</v>
      </c>
    </row>
    <row r="15" customFormat="false" ht="52.2" hidden="false" customHeight="false" outlineLevel="0" collapsed="false">
      <c r="A15" s="4" t="s">
        <v>403</v>
      </c>
      <c r="B15" s="8" t="s">
        <v>365</v>
      </c>
      <c r="C15" s="4" t="s">
        <v>405</v>
      </c>
      <c r="D15" s="8" t="s">
        <v>367</v>
      </c>
      <c r="E15" s="8" t="s">
        <v>406</v>
      </c>
      <c r="F15" s="8" t="s">
        <v>369</v>
      </c>
      <c r="G15" s="8" t="s">
        <v>370</v>
      </c>
      <c r="H15" s="8" t="s">
        <v>371</v>
      </c>
      <c r="I15" s="8" t="s">
        <v>372</v>
      </c>
      <c r="J15" s="8" t="s">
        <v>373</v>
      </c>
      <c r="K15" s="4" t="n">
        <v>0.8</v>
      </c>
    </row>
    <row r="16" customFormat="false" ht="26.85" hidden="false" customHeight="false" outlineLevel="0" collapsed="false">
      <c r="A16" s="4" t="s">
        <v>403</v>
      </c>
      <c r="B16" s="8" t="s">
        <v>374</v>
      </c>
      <c r="C16" s="8" t="s">
        <v>375</v>
      </c>
      <c r="D16" s="8" t="s">
        <v>376</v>
      </c>
      <c r="E16" s="8" t="s">
        <v>377</v>
      </c>
      <c r="F16" s="8" t="s">
        <v>378</v>
      </c>
      <c r="G16" s="8" t="s">
        <v>379</v>
      </c>
      <c r="H16" s="8" t="s">
        <v>380</v>
      </c>
      <c r="I16" s="8" t="s">
        <v>381</v>
      </c>
      <c r="J16" s="8" t="s">
        <v>382</v>
      </c>
      <c r="K16" s="4" t="n">
        <v>0.5</v>
      </c>
    </row>
    <row r="17" customFormat="false" ht="39.55" hidden="false" customHeight="false" outlineLevel="0" collapsed="false">
      <c r="A17" s="4" t="s">
        <v>403</v>
      </c>
      <c r="B17" s="8" t="s">
        <v>374</v>
      </c>
      <c r="C17" s="8" t="s">
        <v>383</v>
      </c>
      <c r="D17" s="8" t="s">
        <v>384</v>
      </c>
      <c r="E17" s="8" t="s">
        <v>385</v>
      </c>
      <c r="F17" s="4" t="s">
        <v>386</v>
      </c>
      <c r="G17" s="8" t="s">
        <v>387</v>
      </c>
      <c r="H17" s="8" t="s">
        <v>388</v>
      </c>
      <c r="I17" s="8" t="s">
        <v>381</v>
      </c>
      <c r="J17" s="8" t="s">
        <v>343</v>
      </c>
      <c r="K17" s="4" t="n">
        <v>0.5</v>
      </c>
    </row>
    <row r="18" customFormat="false" ht="39.55" hidden="false" customHeight="false" outlineLevel="0" collapsed="false">
      <c r="A18" s="4" t="s">
        <v>403</v>
      </c>
      <c r="B18" s="8" t="s">
        <v>389</v>
      </c>
      <c r="C18" s="8" t="s">
        <v>390</v>
      </c>
      <c r="D18" s="8" t="s">
        <v>391</v>
      </c>
      <c r="E18" s="4" t="s">
        <v>392</v>
      </c>
      <c r="F18" s="8" t="s">
        <v>393</v>
      </c>
      <c r="G18" s="8" t="s">
        <v>394</v>
      </c>
      <c r="H18" s="8" t="s">
        <v>395</v>
      </c>
      <c r="I18" s="8" t="s">
        <v>396</v>
      </c>
      <c r="J18" s="8" t="s">
        <v>389</v>
      </c>
      <c r="K18" s="4" t="n">
        <v>0.35</v>
      </c>
    </row>
    <row r="19" customFormat="false" ht="39.55" hidden="false" customHeight="false" outlineLevel="0" collapsed="false">
      <c r="A19" s="4" t="s">
        <v>407</v>
      </c>
      <c r="B19" s="8" t="s">
        <v>19</v>
      </c>
      <c r="C19" s="8" t="s">
        <v>336</v>
      </c>
      <c r="D19" s="8" t="s">
        <v>404</v>
      </c>
      <c r="E19" s="8" t="s">
        <v>338</v>
      </c>
      <c r="F19" s="4" t="s">
        <v>339</v>
      </c>
      <c r="G19" s="8" t="s">
        <v>340</v>
      </c>
      <c r="H19" s="8" t="s">
        <v>341</v>
      </c>
      <c r="I19" s="8" t="s">
        <v>342</v>
      </c>
      <c r="J19" s="8" t="s">
        <v>343</v>
      </c>
      <c r="K19" s="4" t="n">
        <v>1.3</v>
      </c>
    </row>
    <row r="20" customFormat="false" ht="39.55" hidden="false" customHeight="false" outlineLevel="0" collapsed="false">
      <c r="A20" s="4" t="s">
        <v>407</v>
      </c>
      <c r="B20" s="8" t="s">
        <v>19</v>
      </c>
      <c r="C20" s="8" t="s">
        <v>344</v>
      </c>
      <c r="D20" s="8" t="s">
        <v>345</v>
      </c>
      <c r="E20" s="8" t="s">
        <v>346</v>
      </c>
      <c r="F20" s="8" t="s">
        <v>347</v>
      </c>
      <c r="G20" s="4" t="s">
        <v>348</v>
      </c>
      <c r="H20" s="8" t="s">
        <v>349</v>
      </c>
      <c r="I20" s="8" t="s">
        <v>342</v>
      </c>
      <c r="J20" s="8" t="s">
        <v>350</v>
      </c>
      <c r="K20" s="4" t="n">
        <v>1</v>
      </c>
    </row>
    <row r="21" customFormat="false" ht="52.2" hidden="false" customHeight="false" outlineLevel="0" collapsed="false">
      <c r="A21" s="4" t="s">
        <v>407</v>
      </c>
      <c r="B21" s="8" t="s">
        <v>351</v>
      </c>
      <c r="C21" s="8" t="s">
        <v>352</v>
      </c>
      <c r="D21" s="4" t="s">
        <v>353</v>
      </c>
      <c r="E21" s="8" t="s">
        <v>354</v>
      </c>
      <c r="F21" s="8" t="s">
        <v>355</v>
      </c>
      <c r="G21" s="8" t="s">
        <v>356</v>
      </c>
      <c r="H21" s="8" t="s">
        <v>357</v>
      </c>
      <c r="I21" s="8" t="s">
        <v>342</v>
      </c>
      <c r="J21" s="8" t="s">
        <v>358</v>
      </c>
      <c r="K21" s="4" t="n">
        <v>1</v>
      </c>
    </row>
    <row r="22" customFormat="false" ht="39.55" hidden="false" customHeight="false" outlineLevel="0" collapsed="false">
      <c r="A22" s="4" t="s">
        <v>407</v>
      </c>
      <c r="B22" s="8" t="s">
        <v>351</v>
      </c>
      <c r="C22" s="4" t="s">
        <v>359</v>
      </c>
      <c r="D22" s="4" t="s">
        <v>360</v>
      </c>
      <c r="E22" s="8" t="s">
        <v>361</v>
      </c>
      <c r="F22" s="4" t="s">
        <v>362</v>
      </c>
      <c r="G22" s="8" t="s">
        <v>363</v>
      </c>
      <c r="H22" s="8" t="s">
        <v>364</v>
      </c>
      <c r="I22" s="8" t="s">
        <v>342</v>
      </c>
      <c r="J22" s="8" t="s">
        <v>343</v>
      </c>
      <c r="K22" s="4" t="n">
        <v>0.9</v>
      </c>
    </row>
    <row r="23" customFormat="false" ht="52.2" hidden="false" customHeight="false" outlineLevel="0" collapsed="false">
      <c r="A23" s="4" t="s">
        <v>407</v>
      </c>
      <c r="B23" s="8" t="s">
        <v>365</v>
      </c>
      <c r="C23" s="4" t="s">
        <v>408</v>
      </c>
      <c r="D23" s="8" t="s">
        <v>367</v>
      </c>
      <c r="E23" s="8" t="s">
        <v>406</v>
      </c>
      <c r="F23" s="8" t="s">
        <v>369</v>
      </c>
      <c r="G23" s="8" t="s">
        <v>370</v>
      </c>
      <c r="H23" s="8" t="s">
        <v>371</v>
      </c>
      <c r="I23" s="8" t="s">
        <v>372</v>
      </c>
      <c r="J23" s="8" t="s">
        <v>373</v>
      </c>
      <c r="K23" s="4" t="n">
        <v>0.8</v>
      </c>
    </row>
    <row r="24" customFormat="false" ht="26.85" hidden="false" customHeight="false" outlineLevel="0" collapsed="false">
      <c r="A24" s="4" t="s">
        <v>407</v>
      </c>
      <c r="B24" s="8" t="s">
        <v>374</v>
      </c>
      <c r="C24" s="8" t="s">
        <v>375</v>
      </c>
      <c r="D24" s="8" t="s">
        <v>376</v>
      </c>
      <c r="E24" s="8" t="s">
        <v>377</v>
      </c>
      <c r="F24" s="8" t="s">
        <v>378</v>
      </c>
      <c r="G24" s="8" t="s">
        <v>379</v>
      </c>
      <c r="H24" s="8" t="s">
        <v>380</v>
      </c>
      <c r="I24" s="8" t="s">
        <v>381</v>
      </c>
      <c r="J24" s="8" t="s">
        <v>382</v>
      </c>
      <c r="K24" s="4" t="n">
        <v>0.5</v>
      </c>
    </row>
    <row r="25" customFormat="false" ht="39.55" hidden="false" customHeight="false" outlineLevel="0" collapsed="false">
      <c r="A25" s="4" t="s">
        <v>407</v>
      </c>
      <c r="B25" s="8" t="s">
        <v>374</v>
      </c>
      <c r="C25" s="8" t="s">
        <v>383</v>
      </c>
      <c r="D25" s="8" t="s">
        <v>384</v>
      </c>
      <c r="E25" s="8" t="s">
        <v>385</v>
      </c>
      <c r="F25" s="4" t="s">
        <v>386</v>
      </c>
      <c r="G25" s="8" t="s">
        <v>387</v>
      </c>
      <c r="H25" s="8" t="s">
        <v>388</v>
      </c>
      <c r="I25" s="8" t="s">
        <v>381</v>
      </c>
      <c r="J25" s="8" t="s">
        <v>343</v>
      </c>
      <c r="K25" s="4" t="n">
        <v>0.5</v>
      </c>
    </row>
    <row r="26" customFormat="false" ht="39.55" hidden="false" customHeight="false" outlineLevel="0" collapsed="false">
      <c r="A26" s="4" t="s">
        <v>407</v>
      </c>
      <c r="B26" s="8" t="s">
        <v>389</v>
      </c>
      <c r="C26" s="8" t="s">
        <v>390</v>
      </c>
      <c r="D26" s="8" t="s">
        <v>391</v>
      </c>
      <c r="E26" s="4" t="s">
        <v>392</v>
      </c>
      <c r="F26" s="8" t="s">
        <v>393</v>
      </c>
      <c r="G26" s="8" t="s">
        <v>394</v>
      </c>
      <c r="H26" s="8" t="s">
        <v>395</v>
      </c>
      <c r="I26" s="8" t="s">
        <v>396</v>
      </c>
      <c r="J26" s="8" t="s">
        <v>389</v>
      </c>
      <c r="K26" s="4" t="n">
        <v>0.35</v>
      </c>
    </row>
    <row r="27" customFormat="false" ht="39.55" hidden="false" customHeight="false" outlineLevel="0" collapsed="false">
      <c r="A27" s="4" t="s">
        <v>409</v>
      </c>
      <c r="B27" s="8" t="s">
        <v>19</v>
      </c>
      <c r="C27" s="8" t="s">
        <v>336</v>
      </c>
      <c r="D27" s="8" t="s">
        <v>404</v>
      </c>
      <c r="E27" s="8" t="s">
        <v>338</v>
      </c>
      <c r="F27" s="4" t="s">
        <v>339</v>
      </c>
      <c r="G27" s="8" t="s">
        <v>340</v>
      </c>
      <c r="H27" s="8" t="s">
        <v>341</v>
      </c>
      <c r="I27" s="8" t="s">
        <v>342</v>
      </c>
      <c r="J27" s="8" t="s">
        <v>343</v>
      </c>
      <c r="K27" s="4" t="n">
        <v>1.3</v>
      </c>
    </row>
    <row r="28" customFormat="false" ht="39.55" hidden="false" customHeight="false" outlineLevel="0" collapsed="false">
      <c r="A28" s="4" t="s">
        <v>409</v>
      </c>
      <c r="B28" s="8" t="s">
        <v>19</v>
      </c>
      <c r="C28" s="8" t="s">
        <v>344</v>
      </c>
      <c r="D28" s="8" t="s">
        <v>345</v>
      </c>
      <c r="E28" s="8" t="s">
        <v>346</v>
      </c>
      <c r="F28" s="8" t="s">
        <v>347</v>
      </c>
      <c r="G28" s="4" t="s">
        <v>348</v>
      </c>
      <c r="H28" s="8" t="s">
        <v>349</v>
      </c>
      <c r="I28" s="8" t="s">
        <v>342</v>
      </c>
      <c r="J28" s="8" t="s">
        <v>350</v>
      </c>
      <c r="K28" s="4" t="n">
        <v>1</v>
      </c>
    </row>
    <row r="29" customFormat="false" ht="52.2" hidden="false" customHeight="false" outlineLevel="0" collapsed="false">
      <c r="A29" s="4" t="s">
        <v>409</v>
      </c>
      <c r="B29" s="8" t="s">
        <v>351</v>
      </c>
      <c r="C29" s="8" t="s">
        <v>352</v>
      </c>
      <c r="D29" s="4" t="s">
        <v>353</v>
      </c>
      <c r="E29" s="8" t="s">
        <v>354</v>
      </c>
      <c r="F29" s="8" t="s">
        <v>355</v>
      </c>
      <c r="G29" s="8" t="s">
        <v>356</v>
      </c>
      <c r="H29" s="8" t="s">
        <v>357</v>
      </c>
      <c r="I29" s="8" t="s">
        <v>342</v>
      </c>
      <c r="J29" s="8" t="s">
        <v>358</v>
      </c>
      <c r="K29" s="4" t="n">
        <v>1</v>
      </c>
    </row>
    <row r="30" customFormat="false" ht="39.55" hidden="false" customHeight="false" outlineLevel="0" collapsed="false">
      <c r="A30" s="4" t="s">
        <v>409</v>
      </c>
      <c r="B30" s="8" t="s">
        <v>351</v>
      </c>
      <c r="C30" s="4" t="s">
        <v>359</v>
      </c>
      <c r="D30" s="4" t="s">
        <v>360</v>
      </c>
      <c r="E30" s="8" t="s">
        <v>361</v>
      </c>
      <c r="F30" s="4" t="s">
        <v>362</v>
      </c>
      <c r="G30" s="8" t="s">
        <v>363</v>
      </c>
      <c r="H30" s="8" t="s">
        <v>364</v>
      </c>
      <c r="I30" s="8" t="s">
        <v>342</v>
      </c>
      <c r="J30" s="8" t="s">
        <v>343</v>
      </c>
      <c r="K30" s="4" t="n">
        <v>0.9</v>
      </c>
    </row>
    <row r="31" customFormat="false" ht="52.2" hidden="false" customHeight="false" outlineLevel="0" collapsed="false">
      <c r="A31" s="4" t="s">
        <v>409</v>
      </c>
      <c r="B31" s="8" t="s">
        <v>365</v>
      </c>
      <c r="C31" s="4" t="s">
        <v>410</v>
      </c>
      <c r="D31" s="8" t="s">
        <v>367</v>
      </c>
      <c r="E31" s="8" t="s">
        <v>406</v>
      </c>
      <c r="F31" s="8" t="s">
        <v>369</v>
      </c>
      <c r="G31" s="8" t="s">
        <v>370</v>
      </c>
      <c r="H31" s="8" t="s">
        <v>371</v>
      </c>
      <c r="I31" s="8" t="s">
        <v>372</v>
      </c>
      <c r="J31" s="8" t="s">
        <v>373</v>
      </c>
      <c r="K31" s="4" t="n">
        <v>0.8</v>
      </c>
    </row>
    <row r="32" customFormat="false" ht="26.85" hidden="false" customHeight="false" outlineLevel="0" collapsed="false">
      <c r="A32" s="4" t="s">
        <v>409</v>
      </c>
      <c r="B32" s="8" t="s">
        <v>374</v>
      </c>
      <c r="C32" s="8" t="s">
        <v>375</v>
      </c>
      <c r="D32" s="8" t="s">
        <v>376</v>
      </c>
      <c r="E32" s="8" t="s">
        <v>377</v>
      </c>
      <c r="F32" s="8" t="s">
        <v>378</v>
      </c>
      <c r="G32" s="8" t="s">
        <v>379</v>
      </c>
      <c r="H32" s="8" t="s">
        <v>380</v>
      </c>
      <c r="I32" s="8" t="s">
        <v>381</v>
      </c>
      <c r="J32" s="8" t="s">
        <v>382</v>
      </c>
      <c r="K32" s="4" t="n">
        <v>0.5</v>
      </c>
    </row>
    <row r="33" customFormat="false" ht="39.55" hidden="false" customHeight="false" outlineLevel="0" collapsed="false">
      <c r="A33" s="4" t="s">
        <v>409</v>
      </c>
      <c r="B33" s="8" t="s">
        <v>374</v>
      </c>
      <c r="C33" s="8" t="s">
        <v>383</v>
      </c>
      <c r="D33" s="8" t="s">
        <v>384</v>
      </c>
      <c r="E33" s="8" t="s">
        <v>385</v>
      </c>
      <c r="F33" s="4" t="s">
        <v>386</v>
      </c>
      <c r="G33" s="8" t="s">
        <v>387</v>
      </c>
      <c r="H33" s="8" t="s">
        <v>388</v>
      </c>
      <c r="I33" s="8" t="s">
        <v>381</v>
      </c>
      <c r="J33" s="8" t="s">
        <v>343</v>
      </c>
      <c r="K33" s="4" t="n">
        <v>0.5</v>
      </c>
    </row>
    <row r="34" customFormat="false" ht="39.55" hidden="false" customHeight="false" outlineLevel="0" collapsed="false">
      <c r="A34" s="4" t="s">
        <v>409</v>
      </c>
      <c r="B34" s="8" t="s">
        <v>389</v>
      </c>
      <c r="C34" s="8" t="s">
        <v>390</v>
      </c>
      <c r="D34" s="8" t="s">
        <v>391</v>
      </c>
      <c r="E34" s="4" t="s">
        <v>392</v>
      </c>
      <c r="F34" s="8" t="s">
        <v>393</v>
      </c>
      <c r="G34" s="8" t="s">
        <v>394</v>
      </c>
      <c r="H34" s="8" t="s">
        <v>395</v>
      </c>
      <c r="I34" s="8" t="s">
        <v>396</v>
      </c>
      <c r="J34" s="8" t="s">
        <v>389</v>
      </c>
      <c r="K34" s="4" t="n">
        <v>0.35</v>
      </c>
    </row>
    <row r="35" customFormat="false" ht="39.55" hidden="false" customHeight="false" outlineLevel="0" collapsed="false">
      <c r="A35" s="4" t="s">
        <v>411</v>
      </c>
      <c r="B35" s="8" t="s">
        <v>19</v>
      </c>
      <c r="C35" s="8" t="s">
        <v>336</v>
      </c>
      <c r="D35" s="8" t="s">
        <v>404</v>
      </c>
      <c r="E35" s="8" t="s">
        <v>338</v>
      </c>
      <c r="F35" s="4" t="s">
        <v>339</v>
      </c>
      <c r="G35" s="8" t="s">
        <v>340</v>
      </c>
      <c r="H35" s="8" t="s">
        <v>341</v>
      </c>
      <c r="I35" s="8" t="s">
        <v>342</v>
      </c>
      <c r="J35" s="8" t="s">
        <v>343</v>
      </c>
      <c r="K35" s="4" t="n">
        <v>1.3</v>
      </c>
    </row>
    <row r="36" customFormat="false" ht="39.55" hidden="false" customHeight="false" outlineLevel="0" collapsed="false">
      <c r="A36" s="4" t="s">
        <v>411</v>
      </c>
      <c r="B36" s="8" t="s">
        <v>19</v>
      </c>
      <c r="C36" s="8" t="s">
        <v>344</v>
      </c>
      <c r="D36" s="8" t="s">
        <v>345</v>
      </c>
      <c r="E36" s="8" t="s">
        <v>346</v>
      </c>
      <c r="F36" s="8" t="s">
        <v>347</v>
      </c>
      <c r="G36" s="4" t="s">
        <v>348</v>
      </c>
      <c r="H36" s="8" t="s">
        <v>349</v>
      </c>
      <c r="I36" s="8" t="s">
        <v>342</v>
      </c>
      <c r="J36" s="8" t="s">
        <v>350</v>
      </c>
      <c r="K36" s="4" t="n">
        <v>1</v>
      </c>
    </row>
    <row r="37" customFormat="false" ht="52.2" hidden="false" customHeight="false" outlineLevel="0" collapsed="false">
      <c r="A37" s="4" t="s">
        <v>411</v>
      </c>
      <c r="B37" s="8" t="s">
        <v>351</v>
      </c>
      <c r="C37" s="8" t="s">
        <v>352</v>
      </c>
      <c r="D37" s="4" t="s">
        <v>353</v>
      </c>
      <c r="E37" s="8" t="s">
        <v>354</v>
      </c>
      <c r="F37" s="8" t="s">
        <v>355</v>
      </c>
      <c r="G37" s="8" t="s">
        <v>356</v>
      </c>
      <c r="H37" s="8" t="s">
        <v>357</v>
      </c>
      <c r="I37" s="8" t="s">
        <v>342</v>
      </c>
      <c r="J37" s="8" t="s">
        <v>358</v>
      </c>
      <c r="K37" s="4" t="n">
        <v>1</v>
      </c>
    </row>
    <row r="38" customFormat="false" ht="39.55" hidden="false" customHeight="false" outlineLevel="0" collapsed="false">
      <c r="A38" s="4" t="s">
        <v>411</v>
      </c>
      <c r="B38" s="8" t="s">
        <v>351</v>
      </c>
      <c r="C38" s="4" t="s">
        <v>359</v>
      </c>
      <c r="D38" s="4" t="s">
        <v>360</v>
      </c>
      <c r="E38" s="8" t="s">
        <v>361</v>
      </c>
      <c r="F38" s="4" t="s">
        <v>362</v>
      </c>
      <c r="G38" s="8" t="s">
        <v>363</v>
      </c>
      <c r="H38" s="8" t="s">
        <v>364</v>
      </c>
      <c r="I38" s="8" t="s">
        <v>342</v>
      </c>
      <c r="J38" s="8" t="s">
        <v>343</v>
      </c>
      <c r="K38" s="4" t="n">
        <v>0.9</v>
      </c>
    </row>
    <row r="39" customFormat="false" ht="26.85" hidden="false" customHeight="false" outlineLevel="0" collapsed="false">
      <c r="A39" s="4" t="s">
        <v>411</v>
      </c>
      <c r="B39" s="8" t="s">
        <v>374</v>
      </c>
      <c r="C39" s="8" t="s">
        <v>375</v>
      </c>
      <c r="D39" s="8" t="s">
        <v>376</v>
      </c>
      <c r="E39" s="8" t="s">
        <v>377</v>
      </c>
      <c r="F39" s="8" t="s">
        <v>378</v>
      </c>
      <c r="G39" s="8" t="s">
        <v>379</v>
      </c>
      <c r="H39" s="8" t="s">
        <v>380</v>
      </c>
      <c r="I39" s="8" t="s">
        <v>381</v>
      </c>
      <c r="J39" s="8" t="s">
        <v>382</v>
      </c>
      <c r="K39" s="4" t="n">
        <v>0.5</v>
      </c>
    </row>
    <row r="40" customFormat="false" ht="39.55" hidden="false" customHeight="false" outlineLevel="0" collapsed="false">
      <c r="A40" s="4" t="s">
        <v>411</v>
      </c>
      <c r="B40" s="8" t="s">
        <v>374</v>
      </c>
      <c r="C40" s="8" t="s">
        <v>383</v>
      </c>
      <c r="D40" s="8" t="s">
        <v>384</v>
      </c>
      <c r="E40" s="8" t="s">
        <v>385</v>
      </c>
      <c r="F40" s="4" t="s">
        <v>386</v>
      </c>
      <c r="G40" s="8" t="s">
        <v>387</v>
      </c>
      <c r="H40" s="8" t="s">
        <v>388</v>
      </c>
      <c r="I40" s="8" t="s">
        <v>381</v>
      </c>
      <c r="J40" s="8" t="s">
        <v>343</v>
      </c>
      <c r="K40" s="4" t="n">
        <v>0.5</v>
      </c>
    </row>
    <row r="41" customFormat="false" ht="39.55" hidden="false" customHeight="false" outlineLevel="0" collapsed="false">
      <c r="A41" s="4" t="s">
        <v>411</v>
      </c>
      <c r="B41" s="8" t="s">
        <v>389</v>
      </c>
      <c r="C41" s="8" t="s">
        <v>390</v>
      </c>
      <c r="D41" s="8" t="s">
        <v>391</v>
      </c>
      <c r="E41" s="4" t="s">
        <v>392</v>
      </c>
      <c r="F41" s="8" t="s">
        <v>393</v>
      </c>
      <c r="G41" s="8" t="s">
        <v>394</v>
      </c>
      <c r="H41" s="8" t="s">
        <v>395</v>
      </c>
      <c r="I41" s="8" t="s">
        <v>396</v>
      </c>
      <c r="J41" s="8" t="s">
        <v>389</v>
      </c>
      <c r="K41" s="4" t="n">
        <v>0.35</v>
      </c>
    </row>
    <row r="42" customFormat="false" ht="26.85" hidden="false" customHeight="false" outlineLevel="0" collapsed="false">
      <c r="A42" s="4" t="s">
        <v>411</v>
      </c>
      <c r="B42" s="8" t="s">
        <v>365</v>
      </c>
      <c r="C42" s="8" t="s">
        <v>412</v>
      </c>
      <c r="D42" s="8" t="s">
        <v>413</v>
      </c>
      <c r="E42" s="8" t="s">
        <v>414</v>
      </c>
      <c r="F42" s="8" t="s">
        <v>415</v>
      </c>
      <c r="G42" s="4" t="s">
        <v>416</v>
      </c>
      <c r="H42" s="8" t="s">
        <v>417</v>
      </c>
      <c r="I42" s="8" t="s">
        <v>418</v>
      </c>
      <c r="J42" s="8" t="s">
        <v>358</v>
      </c>
      <c r="K42" s="4" t="n">
        <v>0.4</v>
      </c>
    </row>
    <row r="43" customFormat="false" ht="39.55" hidden="false" customHeight="false" outlineLevel="0" collapsed="false">
      <c r="A43" s="8" t="s">
        <v>419</v>
      </c>
      <c r="B43" s="8" t="s">
        <v>19</v>
      </c>
      <c r="C43" s="8" t="s">
        <v>344</v>
      </c>
      <c r="D43" s="8" t="s">
        <v>420</v>
      </c>
      <c r="E43" s="8" t="s">
        <v>346</v>
      </c>
      <c r="F43" s="8" t="s">
        <v>347</v>
      </c>
      <c r="G43" s="4" t="s">
        <v>348</v>
      </c>
      <c r="H43" s="8" t="s">
        <v>349</v>
      </c>
      <c r="I43" s="8" t="s">
        <v>342</v>
      </c>
      <c r="J43" s="8" t="s">
        <v>350</v>
      </c>
      <c r="K43" s="4" t="n">
        <v>1.2</v>
      </c>
    </row>
    <row r="44" customFormat="false" ht="26.85" hidden="false" customHeight="false" outlineLevel="0" collapsed="false">
      <c r="A44" s="8" t="s">
        <v>419</v>
      </c>
      <c r="B44" s="8" t="s">
        <v>374</v>
      </c>
      <c r="C44" s="8" t="s">
        <v>421</v>
      </c>
      <c r="D44" s="4" t="s">
        <v>422</v>
      </c>
      <c r="E44" s="8" t="s">
        <v>423</v>
      </c>
      <c r="F44" s="8" t="s">
        <v>424</v>
      </c>
      <c r="G44" s="8" t="s">
        <v>425</v>
      </c>
      <c r="H44" s="8" t="s">
        <v>426</v>
      </c>
      <c r="I44" s="8" t="s">
        <v>342</v>
      </c>
      <c r="J44" s="8" t="s">
        <v>382</v>
      </c>
      <c r="K44" s="4" t="n">
        <v>1</v>
      </c>
    </row>
    <row r="45" customFormat="false" ht="26.85" hidden="false" customHeight="false" outlineLevel="0" collapsed="false">
      <c r="A45" s="8" t="s">
        <v>419</v>
      </c>
      <c r="B45" s="8" t="s">
        <v>351</v>
      </c>
      <c r="C45" s="4" t="s">
        <v>427</v>
      </c>
      <c r="D45" s="4" t="s">
        <v>428</v>
      </c>
      <c r="E45" s="8" t="s">
        <v>429</v>
      </c>
      <c r="F45" s="8" t="s">
        <v>430</v>
      </c>
      <c r="G45" s="8" t="s">
        <v>431</v>
      </c>
      <c r="H45" s="4" t="s">
        <v>432</v>
      </c>
      <c r="I45" s="8" t="s">
        <v>342</v>
      </c>
      <c r="J45" s="8" t="s">
        <v>382</v>
      </c>
      <c r="K45" s="4" t="n">
        <v>0.6</v>
      </c>
    </row>
    <row r="46" customFormat="false" ht="26.85" hidden="false" customHeight="false" outlineLevel="0" collapsed="false">
      <c r="A46" s="8" t="s">
        <v>419</v>
      </c>
      <c r="B46" s="8" t="s">
        <v>374</v>
      </c>
      <c r="C46" s="8" t="s">
        <v>433</v>
      </c>
      <c r="D46" s="8" t="s">
        <v>434</v>
      </c>
      <c r="E46" s="8" t="s">
        <v>435</v>
      </c>
      <c r="F46" s="8" t="s">
        <v>436</v>
      </c>
      <c r="G46" s="8" t="s">
        <v>437</v>
      </c>
      <c r="H46" s="8" t="s">
        <v>438</v>
      </c>
      <c r="I46" s="8" t="s">
        <v>396</v>
      </c>
      <c r="J46" s="8" t="s">
        <v>382</v>
      </c>
      <c r="K46" s="4" t="n">
        <v>0.7</v>
      </c>
    </row>
    <row r="47" customFormat="false" ht="26.85" hidden="false" customHeight="false" outlineLevel="0" collapsed="false">
      <c r="A47" s="8" t="s">
        <v>419</v>
      </c>
      <c r="B47" s="8" t="s">
        <v>19</v>
      </c>
      <c r="C47" s="8" t="s">
        <v>439</v>
      </c>
      <c r="D47" s="8" t="s">
        <v>440</v>
      </c>
      <c r="E47" s="8" t="s">
        <v>441</v>
      </c>
      <c r="F47" s="8" t="s">
        <v>442</v>
      </c>
      <c r="G47" s="4" t="s">
        <v>443</v>
      </c>
      <c r="H47" s="8" t="s">
        <v>444</v>
      </c>
      <c r="I47" s="8" t="s">
        <v>342</v>
      </c>
      <c r="J47" s="8" t="s">
        <v>350</v>
      </c>
      <c r="K47" s="4" t="n">
        <v>0.8</v>
      </c>
    </row>
    <row r="48" customFormat="false" ht="26.85" hidden="false" customHeight="false" outlineLevel="0" collapsed="false">
      <c r="A48" s="8" t="s">
        <v>419</v>
      </c>
      <c r="B48" s="8" t="s">
        <v>374</v>
      </c>
      <c r="C48" s="8" t="s">
        <v>445</v>
      </c>
      <c r="D48" s="8" t="s">
        <v>446</v>
      </c>
      <c r="E48" s="8" t="s">
        <v>447</v>
      </c>
      <c r="F48" s="8" t="s">
        <v>448</v>
      </c>
      <c r="G48" s="8" t="s">
        <v>449</v>
      </c>
      <c r="H48" s="8" t="s">
        <v>450</v>
      </c>
      <c r="I48" s="8" t="s">
        <v>381</v>
      </c>
      <c r="J48" s="8" t="s">
        <v>350</v>
      </c>
      <c r="K48" s="4" t="n">
        <v>0.7</v>
      </c>
    </row>
    <row r="49" customFormat="false" ht="26.85" hidden="false" customHeight="false" outlineLevel="0" collapsed="false">
      <c r="A49" s="8" t="s">
        <v>419</v>
      </c>
      <c r="B49" s="8" t="s">
        <v>19</v>
      </c>
      <c r="C49" s="8" t="s">
        <v>451</v>
      </c>
      <c r="D49" s="8" t="s">
        <v>452</v>
      </c>
      <c r="E49" s="8" t="s">
        <v>453</v>
      </c>
      <c r="F49" s="8" t="s">
        <v>454</v>
      </c>
      <c r="G49" s="8" t="s">
        <v>455</v>
      </c>
      <c r="H49" s="8" t="s">
        <v>456</v>
      </c>
      <c r="I49" s="8" t="s">
        <v>381</v>
      </c>
      <c r="J49" s="8" t="s">
        <v>350</v>
      </c>
      <c r="K49" s="4" t="n">
        <v>0.5</v>
      </c>
    </row>
    <row r="50" customFormat="false" ht="26.85" hidden="false" customHeight="false" outlineLevel="0" collapsed="false">
      <c r="A50" s="8" t="s">
        <v>419</v>
      </c>
      <c r="B50" s="8" t="s">
        <v>365</v>
      </c>
      <c r="C50" s="4" t="s">
        <v>457</v>
      </c>
      <c r="D50" s="8" t="s">
        <v>458</v>
      </c>
      <c r="E50" s="8" t="s">
        <v>459</v>
      </c>
      <c r="F50" s="8" t="s">
        <v>460</v>
      </c>
      <c r="G50" s="8" t="s">
        <v>461</v>
      </c>
      <c r="H50" s="8" t="s">
        <v>462</v>
      </c>
      <c r="I50" s="8" t="s">
        <v>381</v>
      </c>
      <c r="J50" s="8" t="s">
        <v>373</v>
      </c>
      <c r="K50" s="4" t="n">
        <v>0.5</v>
      </c>
    </row>
    <row r="51" customFormat="false" ht="26.85" hidden="false" customHeight="false" outlineLevel="0" collapsed="false">
      <c r="A51" s="8" t="s">
        <v>463</v>
      </c>
      <c r="B51" s="8" t="s">
        <v>19</v>
      </c>
      <c r="C51" s="8" t="s">
        <v>464</v>
      </c>
      <c r="D51" s="8" t="s">
        <v>465</v>
      </c>
      <c r="E51" s="8" t="s">
        <v>466</v>
      </c>
      <c r="F51" s="8" t="s">
        <v>467</v>
      </c>
      <c r="G51" s="8" t="s">
        <v>468</v>
      </c>
      <c r="H51" s="4" t="s">
        <v>469</v>
      </c>
      <c r="I51" s="8" t="s">
        <v>470</v>
      </c>
      <c r="J51" s="8" t="s">
        <v>350</v>
      </c>
      <c r="K51" s="4" t="n">
        <v>1</v>
      </c>
    </row>
    <row r="52" customFormat="false" ht="26.85" hidden="false" customHeight="false" outlineLevel="0" collapsed="false">
      <c r="A52" s="8" t="s">
        <v>463</v>
      </c>
      <c r="B52" s="8" t="s">
        <v>374</v>
      </c>
      <c r="C52" s="8" t="s">
        <v>471</v>
      </c>
      <c r="D52" s="4" t="s">
        <v>472</v>
      </c>
      <c r="E52" s="8" t="s">
        <v>473</v>
      </c>
      <c r="F52" s="8" t="s">
        <v>474</v>
      </c>
      <c r="G52" s="8" t="s">
        <v>475</v>
      </c>
      <c r="H52" s="4" t="s">
        <v>476</v>
      </c>
      <c r="I52" s="8" t="s">
        <v>470</v>
      </c>
      <c r="J52" s="8" t="s">
        <v>382</v>
      </c>
      <c r="K52" s="4" t="n">
        <v>1</v>
      </c>
    </row>
    <row r="53" customFormat="false" ht="26.85" hidden="false" customHeight="false" outlineLevel="0" collapsed="false">
      <c r="A53" s="8" t="s">
        <v>463</v>
      </c>
      <c r="B53" s="8" t="s">
        <v>19</v>
      </c>
      <c r="C53" s="8" t="s">
        <v>477</v>
      </c>
      <c r="D53" s="8" t="s">
        <v>478</v>
      </c>
      <c r="E53" s="8" t="s">
        <v>479</v>
      </c>
      <c r="F53" s="8" t="s">
        <v>454</v>
      </c>
      <c r="G53" s="8" t="s">
        <v>480</v>
      </c>
      <c r="H53" s="8" t="s">
        <v>481</v>
      </c>
      <c r="I53" s="8" t="s">
        <v>381</v>
      </c>
      <c r="J53" s="8" t="s">
        <v>350</v>
      </c>
      <c r="K53" s="4" t="n">
        <v>0.5</v>
      </c>
    </row>
    <row r="54" customFormat="false" ht="26.85" hidden="false" customHeight="false" outlineLevel="0" collapsed="false">
      <c r="A54" s="8" t="s">
        <v>463</v>
      </c>
      <c r="B54" s="8" t="s">
        <v>365</v>
      </c>
      <c r="C54" s="4" t="s">
        <v>457</v>
      </c>
      <c r="D54" s="8" t="s">
        <v>458</v>
      </c>
      <c r="E54" s="8" t="s">
        <v>459</v>
      </c>
      <c r="F54" s="8" t="s">
        <v>460</v>
      </c>
      <c r="G54" s="8" t="s">
        <v>461</v>
      </c>
      <c r="H54" s="8" t="s">
        <v>462</v>
      </c>
      <c r="I54" s="8" t="s">
        <v>381</v>
      </c>
      <c r="J54" s="8" t="s">
        <v>373</v>
      </c>
      <c r="K54" s="4" t="n">
        <v>0.5</v>
      </c>
    </row>
    <row r="55" customFormat="false" ht="39.55" hidden="false" customHeight="false" outlineLevel="0" collapsed="false">
      <c r="A55" s="8" t="s">
        <v>482</v>
      </c>
      <c r="B55" s="8" t="s">
        <v>374</v>
      </c>
      <c r="C55" s="8" t="s">
        <v>483</v>
      </c>
      <c r="D55" s="8" t="s">
        <v>484</v>
      </c>
      <c r="E55" s="8" t="s">
        <v>485</v>
      </c>
      <c r="F55" s="8" t="s">
        <v>486</v>
      </c>
      <c r="G55" s="8" t="s">
        <v>487</v>
      </c>
      <c r="H55" s="8" t="s">
        <v>488</v>
      </c>
      <c r="I55" s="8" t="s">
        <v>381</v>
      </c>
      <c r="J55" s="8" t="s">
        <v>489</v>
      </c>
      <c r="K55" s="4" t="n">
        <v>1.2</v>
      </c>
    </row>
    <row r="56" customFormat="false" ht="26.85" hidden="false" customHeight="false" outlineLevel="0" collapsed="false">
      <c r="A56" s="8" t="s">
        <v>482</v>
      </c>
      <c r="B56" s="8" t="s">
        <v>374</v>
      </c>
      <c r="C56" s="8" t="s">
        <v>490</v>
      </c>
      <c r="D56" s="4" t="s">
        <v>491</v>
      </c>
      <c r="E56" s="8" t="s">
        <v>492</v>
      </c>
      <c r="F56" s="8" t="s">
        <v>493</v>
      </c>
      <c r="G56" s="8" t="s">
        <v>494</v>
      </c>
      <c r="H56" s="8" t="s">
        <v>495</v>
      </c>
      <c r="I56" s="8" t="s">
        <v>381</v>
      </c>
      <c r="J56" s="8" t="s">
        <v>382</v>
      </c>
      <c r="K56" s="4" t="n">
        <v>0.9</v>
      </c>
    </row>
    <row r="57" customFormat="false" ht="26.85" hidden="false" customHeight="false" outlineLevel="0" collapsed="false">
      <c r="A57" s="8" t="s">
        <v>482</v>
      </c>
      <c r="B57" s="8" t="s">
        <v>389</v>
      </c>
      <c r="C57" s="8" t="s">
        <v>496</v>
      </c>
      <c r="D57" s="8" t="s">
        <v>497</v>
      </c>
      <c r="E57" s="8" t="s">
        <v>414</v>
      </c>
      <c r="F57" s="8" t="s">
        <v>498</v>
      </c>
      <c r="G57" s="8" t="s">
        <v>499</v>
      </c>
      <c r="H57" s="8" t="s">
        <v>500</v>
      </c>
      <c r="I57" s="8" t="s">
        <v>381</v>
      </c>
      <c r="J57" s="8" t="s">
        <v>389</v>
      </c>
      <c r="K57" s="4" t="n">
        <v>0.8</v>
      </c>
    </row>
    <row r="58" customFormat="false" ht="26.85" hidden="false" customHeight="false" outlineLevel="0" collapsed="false">
      <c r="A58" s="8" t="s">
        <v>482</v>
      </c>
      <c r="B58" s="8" t="s">
        <v>19</v>
      </c>
      <c r="C58" s="8" t="s">
        <v>501</v>
      </c>
      <c r="D58" s="8" t="s">
        <v>502</v>
      </c>
      <c r="E58" s="8" t="s">
        <v>414</v>
      </c>
      <c r="F58" s="8" t="s">
        <v>503</v>
      </c>
      <c r="G58" s="8" t="s">
        <v>504</v>
      </c>
      <c r="H58" s="8" t="s">
        <v>505</v>
      </c>
      <c r="I58" s="8" t="s">
        <v>381</v>
      </c>
      <c r="J58" s="8" t="s">
        <v>382</v>
      </c>
      <c r="K58" s="4" t="n">
        <v>0.6</v>
      </c>
    </row>
    <row r="59" customFormat="false" ht="26.85" hidden="false" customHeight="false" outlineLevel="0" collapsed="false">
      <c r="A59" s="8" t="s">
        <v>482</v>
      </c>
      <c r="B59" s="8" t="s">
        <v>365</v>
      </c>
      <c r="C59" s="4" t="s">
        <v>506</v>
      </c>
      <c r="D59" s="8" t="s">
        <v>507</v>
      </c>
      <c r="E59" s="8" t="s">
        <v>508</v>
      </c>
      <c r="F59" s="8" t="s">
        <v>509</v>
      </c>
      <c r="G59" s="8" t="s">
        <v>510</v>
      </c>
      <c r="H59" s="4" t="s">
        <v>511</v>
      </c>
      <c r="I59" s="8" t="s">
        <v>381</v>
      </c>
      <c r="J59" s="8" t="s">
        <v>373</v>
      </c>
      <c r="K59" s="4" t="n">
        <v>0.6</v>
      </c>
    </row>
    <row r="60" customFormat="false" ht="39.55" hidden="false" customHeight="false" outlineLevel="0" collapsed="false">
      <c r="A60" s="8" t="s">
        <v>471</v>
      </c>
      <c r="B60" s="8" t="s">
        <v>374</v>
      </c>
      <c r="C60" s="8" t="s">
        <v>512</v>
      </c>
      <c r="D60" s="8" t="s">
        <v>484</v>
      </c>
      <c r="E60" s="8" t="s">
        <v>513</v>
      </c>
      <c r="F60" s="8" t="s">
        <v>486</v>
      </c>
      <c r="G60" s="8" t="s">
        <v>487</v>
      </c>
      <c r="H60" s="8" t="s">
        <v>488</v>
      </c>
      <c r="I60" s="8" t="s">
        <v>381</v>
      </c>
      <c r="J60" s="8" t="s">
        <v>489</v>
      </c>
      <c r="K60" s="4" t="n">
        <v>1.2</v>
      </c>
    </row>
    <row r="61" customFormat="false" ht="26.85" hidden="false" customHeight="false" outlineLevel="0" collapsed="false">
      <c r="A61" s="8" t="s">
        <v>471</v>
      </c>
      <c r="B61" s="8" t="s">
        <v>374</v>
      </c>
      <c r="C61" s="8" t="s">
        <v>490</v>
      </c>
      <c r="D61" s="4" t="s">
        <v>491</v>
      </c>
      <c r="E61" s="8" t="s">
        <v>514</v>
      </c>
      <c r="F61" s="8" t="s">
        <v>493</v>
      </c>
      <c r="G61" s="8" t="s">
        <v>494</v>
      </c>
      <c r="H61" s="8" t="s">
        <v>495</v>
      </c>
      <c r="I61" s="8" t="s">
        <v>381</v>
      </c>
      <c r="J61" s="8" t="s">
        <v>382</v>
      </c>
      <c r="K61" s="4" t="n">
        <v>0.9</v>
      </c>
    </row>
    <row r="62" customFormat="false" ht="26.85" hidden="false" customHeight="false" outlineLevel="0" collapsed="false">
      <c r="A62" s="8" t="s">
        <v>471</v>
      </c>
      <c r="B62" s="8" t="s">
        <v>389</v>
      </c>
      <c r="C62" s="8" t="s">
        <v>496</v>
      </c>
      <c r="D62" s="8" t="s">
        <v>497</v>
      </c>
      <c r="E62" s="8" t="s">
        <v>414</v>
      </c>
      <c r="F62" s="8" t="s">
        <v>498</v>
      </c>
      <c r="G62" s="8" t="s">
        <v>499</v>
      </c>
      <c r="H62" s="8" t="s">
        <v>500</v>
      </c>
      <c r="I62" s="8" t="s">
        <v>381</v>
      </c>
      <c r="J62" s="8" t="s">
        <v>389</v>
      </c>
      <c r="K62" s="4" t="n">
        <v>0.8</v>
      </c>
    </row>
    <row r="63" customFormat="false" ht="26.85" hidden="false" customHeight="false" outlineLevel="0" collapsed="false">
      <c r="A63" s="8" t="s">
        <v>471</v>
      </c>
      <c r="B63" s="8" t="s">
        <v>19</v>
      </c>
      <c r="C63" s="8" t="s">
        <v>501</v>
      </c>
      <c r="D63" s="8" t="s">
        <v>502</v>
      </c>
      <c r="E63" s="8" t="s">
        <v>414</v>
      </c>
      <c r="F63" s="8" t="s">
        <v>503</v>
      </c>
      <c r="G63" s="8" t="s">
        <v>504</v>
      </c>
      <c r="H63" s="8" t="s">
        <v>505</v>
      </c>
      <c r="I63" s="8" t="s">
        <v>381</v>
      </c>
      <c r="J63" s="8" t="s">
        <v>382</v>
      </c>
      <c r="K63" s="4" t="n">
        <v>0.6</v>
      </c>
    </row>
    <row r="64" customFormat="false" ht="26.85" hidden="false" customHeight="false" outlineLevel="0" collapsed="false">
      <c r="A64" s="8" t="s">
        <v>471</v>
      </c>
      <c r="B64" s="8" t="s">
        <v>365</v>
      </c>
      <c r="C64" s="4" t="s">
        <v>506</v>
      </c>
      <c r="D64" s="8" t="s">
        <v>507</v>
      </c>
      <c r="E64" s="8" t="s">
        <v>515</v>
      </c>
      <c r="F64" s="8" t="s">
        <v>509</v>
      </c>
      <c r="G64" s="8" t="s">
        <v>510</v>
      </c>
      <c r="H64" s="4" t="s">
        <v>511</v>
      </c>
      <c r="I64" s="8" t="s">
        <v>381</v>
      </c>
      <c r="J64" s="8" t="s">
        <v>373</v>
      </c>
      <c r="K64" s="4" t="n">
        <v>0.6</v>
      </c>
    </row>
    <row r="65" customFormat="false" ht="15" hidden="false" customHeight="false" outlineLevel="0" collapsed="false">
      <c r="A65" s="8" t="s">
        <v>516</v>
      </c>
      <c r="B65" s="8" t="s">
        <v>374</v>
      </c>
      <c r="C65" s="8" t="s">
        <v>482</v>
      </c>
      <c r="D65" s="8" t="s">
        <v>517</v>
      </c>
      <c r="E65" s="8" t="s">
        <v>518</v>
      </c>
      <c r="F65" s="8" t="s">
        <v>519</v>
      </c>
      <c r="G65" s="8" t="s">
        <v>520</v>
      </c>
      <c r="H65" s="8" t="s">
        <v>521</v>
      </c>
      <c r="I65" s="8" t="s">
        <v>470</v>
      </c>
      <c r="J65" s="8" t="s">
        <v>382</v>
      </c>
      <c r="K65" s="4" t="n">
        <v>1.2</v>
      </c>
    </row>
    <row r="66" customFormat="false" ht="26.85" hidden="false" customHeight="false" outlineLevel="0" collapsed="false">
      <c r="A66" s="8" t="s">
        <v>516</v>
      </c>
      <c r="B66" s="8" t="s">
        <v>19</v>
      </c>
      <c r="C66" s="8" t="s">
        <v>522</v>
      </c>
      <c r="D66" s="8" t="s">
        <v>523</v>
      </c>
      <c r="E66" s="8" t="s">
        <v>524</v>
      </c>
      <c r="F66" s="8" t="s">
        <v>525</v>
      </c>
      <c r="G66" s="8" t="s">
        <v>526</v>
      </c>
      <c r="H66" s="8" t="s">
        <v>527</v>
      </c>
      <c r="I66" s="8" t="s">
        <v>470</v>
      </c>
      <c r="J66" s="8" t="s">
        <v>350</v>
      </c>
      <c r="K66" s="4" t="n">
        <v>0.6</v>
      </c>
    </row>
    <row r="67" customFormat="false" ht="26.85" hidden="false" customHeight="false" outlineLevel="0" collapsed="false">
      <c r="A67" s="8" t="s">
        <v>516</v>
      </c>
      <c r="B67" s="8" t="s">
        <v>365</v>
      </c>
      <c r="C67" s="8" t="s">
        <v>528</v>
      </c>
      <c r="D67" s="8" t="s">
        <v>458</v>
      </c>
      <c r="E67" s="8" t="s">
        <v>459</v>
      </c>
      <c r="F67" s="8" t="s">
        <v>460</v>
      </c>
      <c r="G67" s="8" t="s">
        <v>461</v>
      </c>
      <c r="H67" s="8" t="s">
        <v>462</v>
      </c>
      <c r="I67" s="8" t="s">
        <v>381</v>
      </c>
      <c r="J67" s="8" t="s">
        <v>373</v>
      </c>
      <c r="K67" s="4" t="n">
        <v>0.5</v>
      </c>
    </row>
    <row r="68" customFormat="false" ht="15" hidden="false" customHeight="false" outlineLevel="0" collapsed="false">
      <c r="A68" s="8" t="s">
        <v>529</v>
      </c>
      <c r="B68" s="8" t="s">
        <v>374</v>
      </c>
      <c r="C68" s="8" t="s">
        <v>471</v>
      </c>
      <c r="D68" s="8" t="s">
        <v>517</v>
      </c>
      <c r="E68" s="8" t="s">
        <v>530</v>
      </c>
      <c r="F68" s="8" t="s">
        <v>519</v>
      </c>
      <c r="G68" s="8" t="s">
        <v>520</v>
      </c>
      <c r="H68" s="8" t="s">
        <v>521</v>
      </c>
      <c r="I68" s="8" t="s">
        <v>470</v>
      </c>
      <c r="J68" s="8" t="s">
        <v>382</v>
      </c>
      <c r="K68" s="4" t="n">
        <v>1.2</v>
      </c>
    </row>
    <row r="69" customFormat="false" ht="26.85" hidden="false" customHeight="false" outlineLevel="0" collapsed="false">
      <c r="A69" s="8" t="s">
        <v>529</v>
      </c>
      <c r="B69" s="8" t="s">
        <v>19</v>
      </c>
      <c r="C69" s="8" t="s">
        <v>531</v>
      </c>
      <c r="D69" s="8" t="s">
        <v>523</v>
      </c>
      <c r="E69" s="8" t="s">
        <v>532</v>
      </c>
      <c r="F69" s="8" t="s">
        <v>525</v>
      </c>
      <c r="G69" s="8" t="s">
        <v>526</v>
      </c>
      <c r="H69" s="8" t="s">
        <v>527</v>
      </c>
      <c r="I69" s="8" t="s">
        <v>470</v>
      </c>
      <c r="J69" s="8" t="s">
        <v>350</v>
      </c>
      <c r="K69" s="4" t="n">
        <v>0.6</v>
      </c>
    </row>
    <row r="70" customFormat="false" ht="26.85" hidden="false" customHeight="false" outlineLevel="0" collapsed="false">
      <c r="A70" s="8" t="s">
        <v>529</v>
      </c>
      <c r="B70" s="8" t="s">
        <v>365</v>
      </c>
      <c r="C70" s="8" t="s">
        <v>528</v>
      </c>
      <c r="D70" s="8" t="s">
        <v>458</v>
      </c>
      <c r="E70" s="8" t="s">
        <v>459</v>
      </c>
      <c r="F70" s="8" t="s">
        <v>460</v>
      </c>
      <c r="G70" s="8" t="s">
        <v>461</v>
      </c>
      <c r="H70" s="8" t="s">
        <v>462</v>
      </c>
      <c r="I70" s="8" t="s">
        <v>381</v>
      </c>
      <c r="J70" s="8" t="s">
        <v>373</v>
      </c>
      <c r="K70" s="4" t="n">
        <v>0.5</v>
      </c>
    </row>
    <row r="71" customFormat="false" ht="26.85" hidden="false" customHeight="false" outlineLevel="0" collapsed="false">
      <c r="A71" s="8" t="s">
        <v>533</v>
      </c>
      <c r="B71" s="8" t="s">
        <v>389</v>
      </c>
      <c r="C71" s="8" t="s">
        <v>534</v>
      </c>
      <c r="D71" s="8" t="s">
        <v>535</v>
      </c>
      <c r="E71" s="8" t="s">
        <v>414</v>
      </c>
      <c r="F71" s="8" t="s">
        <v>536</v>
      </c>
      <c r="G71" s="8" t="s">
        <v>537</v>
      </c>
      <c r="H71" s="8" t="s">
        <v>538</v>
      </c>
      <c r="I71" s="8" t="s">
        <v>381</v>
      </c>
      <c r="J71" s="8" t="s">
        <v>389</v>
      </c>
      <c r="K71" s="4" t="n">
        <v>1.3</v>
      </c>
    </row>
    <row r="72" customFormat="false" ht="26.85" hidden="false" customHeight="false" outlineLevel="0" collapsed="false">
      <c r="A72" s="8" t="s">
        <v>533</v>
      </c>
      <c r="B72" s="8" t="s">
        <v>374</v>
      </c>
      <c r="C72" s="8" t="s">
        <v>539</v>
      </c>
      <c r="D72" s="8" t="s">
        <v>540</v>
      </c>
      <c r="E72" s="8" t="s">
        <v>414</v>
      </c>
      <c r="F72" s="8" t="s">
        <v>541</v>
      </c>
      <c r="G72" s="8" t="s">
        <v>542</v>
      </c>
      <c r="H72" s="8" t="s">
        <v>543</v>
      </c>
      <c r="I72" s="8" t="s">
        <v>381</v>
      </c>
      <c r="J72" s="8" t="s">
        <v>358</v>
      </c>
      <c r="K72" s="4" t="n">
        <v>0.8</v>
      </c>
    </row>
    <row r="73" customFormat="false" ht="26.85" hidden="false" customHeight="false" outlineLevel="0" collapsed="false">
      <c r="A73" s="8" t="s">
        <v>533</v>
      </c>
      <c r="B73" s="8" t="s">
        <v>351</v>
      </c>
      <c r="C73" s="8" t="s">
        <v>544</v>
      </c>
      <c r="D73" s="8" t="s">
        <v>545</v>
      </c>
      <c r="E73" s="8" t="s">
        <v>546</v>
      </c>
      <c r="F73" s="8" t="s">
        <v>547</v>
      </c>
      <c r="G73" s="8" t="s">
        <v>542</v>
      </c>
      <c r="H73" s="8" t="s">
        <v>548</v>
      </c>
      <c r="I73" s="8" t="s">
        <v>470</v>
      </c>
      <c r="J73" s="8" t="s">
        <v>358</v>
      </c>
      <c r="K73" s="4" t="n">
        <v>0.6</v>
      </c>
    </row>
    <row r="74" customFormat="false" ht="26.85" hidden="false" customHeight="false" outlineLevel="0" collapsed="false">
      <c r="A74" s="8" t="s">
        <v>533</v>
      </c>
      <c r="B74" s="8" t="s">
        <v>365</v>
      </c>
      <c r="C74" s="4" t="s">
        <v>549</v>
      </c>
      <c r="D74" s="8" t="s">
        <v>458</v>
      </c>
      <c r="E74" s="8" t="s">
        <v>459</v>
      </c>
      <c r="F74" s="8" t="s">
        <v>460</v>
      </c>
      <c r="G74" s="8" t="s">
        <v>461</v>
      </c>
      <c r="H74" s="8" t="s">
        <v>462</v>
      </c>
      <c r="I74" s="8" t="s">
        <v>381</v>
      </c>
      <c r="J74" s="8" t="s">
        <v>373</v>
      </c>
      <c r="K74" s="4" t="n">
        <v>0.5</v>
      </c>
    </row>
    <row r="75" customFormat="false" ht="26.85" hidden="false" customHeight="false" outlineLevel="0" collapsed="false">
      <c r="A75" s="8" t="s">
        <v>550</v>
      </c>
      <c r="B75" s="8" t="s">
        <v>389</v>
      </c>
      <c r="C75" s="8" t="s">
        <v>534</v>
      </c>
      <c r="D75" s="8" t="s">
        <v>535</v>
      </c>
      <c r="E75" s="8" t="s">
        <v>414</v>
      </c>
      <c r="F75" s="8" t="s">
        <v>536</v>
      </c>
      <c r="G75" s="8" t="s">
        <v>537</v>
      </c>
      <c r="H75" s="8" t="s">
        <v>538</v>
      </c>
      <c r="I75" s="8" t="s">
        <v>381</v>
      </c>
      <c r="J75" s="8" t="s">
        <v>389</v>
      </c>
      <c r="K75" s="4" t="n">
        <v>1.3</v>
      </c>
    </row>
    <row r="76" customFormat="false" ht="26.85" hidden="false" customHeight="false" outlineLevel="0" collapsed="false">
      <c r="A76" s="8" t="s">
        <v>550</v>
      </c>
      <c r="B76" s="8" t="s">
        <v>374</v>
      </c>
      <c r="C76" s="8" t="s">
        <v>539</v>
      </c>
      <c r="D76" s="8" t="s">
        <v>540</v>
      </c>
      <c r="E76" s="8" t="s">
        <v>414</v>
      </c>
      <c r="F76" s="8" t="s">
        <v>541</v>
      </c>
      <c r="G76" s="8" t="s">
        <v>542</v>
      </c>
      <c r="H76" s="8" t="s">
        <v>543</v>
      </c>
      <c r="I76" s="8" t="s">
        <v>381</v>
      </c>
      <c r="J76" s="8" t="s">
        <v>358</v>
      </c>
      <c r="K76" s="4" t="n">
        <v>0.8</v>
      </c>
    </row>
    <row r="77" customFormat="false" ht="26.85" hidden="false" customHeight="false" outlineLevel="0" collapsed="false">
      <c r="A77" s="8" t="s">
        <v>550</v>
      </c>
      <c r="B77" s="8" t="s">
        <v>351</v>
      </c>
      <c r="C77" s="8" t="s">
        <v>551</v>
      </c>
      <c r="D77" s="8" t="s">
        <v>545</v>
      </c>
      <c r="E77" s="8" t="s">
        <v>552</v>
      </c>
      <c r="F77" s="8" t="s">
        <v>547</v>
      </c>
      <c r="G77" s="8" t="s">
        <v>542</v>
      </c>
      <c r="H77" s="8" t="s">
        <v>548</v>
      </c>
      <c r="I77" s="8" t="s">
        <v>470</v>
      </c>
      <c r="J77" s="8" t="s">
        <v>358</v>
      </c>
      <c r="K77" s="4" t="n">
        <v>0.6</v>
      </c>
    </row>
    <row r="78" customFormat="false" ht="26.85" hidden="false" customHeight="false" outlineLevel="0" collapsed="false">
      <c r="A78" s="8" t="s">
        <v>550</v>
      </c>
      <c r="B78" s="8" t="s">
        <v>365</v>
      </c>
      <c r="C78" s="4" t="s">
        <v>549</v>
      </c>
      <c r="D78" s="8" t="s">
        <v>458</v>
      </c>
      <c r="E78" s="8" t="s">
        <v>459</v>
      </c>
      <c r="F78" s="8" t="s">
        <v>460</v>
      </c>
      <c r="G78" s="8" t="s">
        <v>461</v>
      </c>
      <c r="H78" s="8" t="s">
        <v>462</v>
      </c>
      <c r="I78" s="8" t="s">
        <v>381</v>
      </c>
      <c r="J78" s="8" t="s">
        <v>373</v>
      </c>
      <c r="K78" s="4" t="n">
        <v>0.5</v>
      </c>
    </row>
    <row r="79" customFormat="false" ht="26.85" hidden="false" customHeight="false" outlineLevel="0" collapsed="false">
      <c r="A79" s="8" t="s">
        <v>553</v>
      </c>
      <c r="B79" s="8" t="s">
        <v>389</v>
      </c>
      <c r="C79" s="8" t="s">
        <v>554</v>
      </c>
      <c r="D79" s="8" t="s">
        <v>555</v>
      </c>
      <c r="E79" s="8" t="s">
        <v>556</v>
      </c>
      <c r="F79" s="8" t="s">
        <v>557</v>
      </c>
      <c r="G79" s="8" t="s">
        <v>558</v>
      </c>
      <c r="H79" s="8" t="s">
        <v>559</v>
      </c>
      <c r="I79" s="8" t="s">
        <v>381</v>
      </c>
      <c r="J79" s="8" t="s">
        <v>389</v>
      </c>
      <c r="K79" s="4" t="n">
        <v>1.2</v>
      </c>
    </row>
    <row r="80" customFormat="false" ht="15" hidden="false" customHeight="false" outlineLevel="0" collapsed="false">
      <c r="A80" s="8" t="s">
        <v>553</v>
      </c>
      <c r="B80" s="8" t="s">
        <v>19</v>
      </c>
      <c r="C80" s="8" t="s">
        <v>560</v>
      </c>
      <c r="D80" s="8" t="s">
        <v>561</v>
      </c>
      <c r="E80" s="8" t="s">
        <v>562</v>
      </c>
      <c r="F80" s="8" t="s">
        <v>454</v>
      </c>
      <c r="G80" s="8" t="s">
        <v>563</v>
      </c>
      <c r="H80" s="8" t="s">
        <v>564</v>
      </c>
      <c r="I80" s="8" t="s">
        <v>470</v>
      </c>
      <c r="J80" s="8" t="s">
        <v>343</v>
      </c>
      <c r="K80" s="4" t="n">
        <v>0.9</v>
      </c>
    </row>
    <row r="81" customFormat="false" ht="26.85" hidden="false" customHeight="false" outlineLevel="0" collapsed="false">
      <c r="A81" s="8" t="s">
        <v>553</v>
      </c>
      <c r="B81" s="8" t="s">
        <v>389</v>
      </c>
      <c r="C81" s="8" t="s">
        <v>565</v>
      </c>
      <c r="D81" s="8" t="s">
        <v>566</v>
      </c>
      <c r="E81" s="8" t="s">
        <v>414</v>
      </c>
      <c r="F81" s="8" t="s">
        <v>567</v>
      </c>
      <c r="G81" s="8" t="s">
        <v>568</v>
      </c>
      <c r="H81" s="8" t="s">
        <v>569</v>
      </c>
      <c r="I81" s="8" t="s">
        <v>381</v>
      </c>
      <c r="J81" s="8" t="s">
        <v>389</v>
      </c>
      <c r="K81" s="4" t="n">
        <v>0.8</v>
      </c>
    </row>
    <row r="82" customFormat="false" ht="26.85" hidden="false" customHeight="false" outlineLevel="0" collapsed="false">
      <c r="A82" s="8" t="s">
        <v>553</v>
      </c>
      <c r="B82" s="8" t="s">
        <v>374</v>
      </c>
      <c r="C82" s="8" t="s">
        <v>570</v>
      </c>
      <c r="D82" s="8" t="s">
        <v>571</v>
      </c>
      <c r="E82" s="8" t="s">
        <v>572</v>
      </c>
      <c r="F82" s="8" t="s">
        <v>573</v>
      </c>
      <c r="G82" s="8" t="s">
        <v>574</v>
      </c>
      <c r="H82" s="8" t="s">
        <v>575</v>
      </c>
      <c r="I82" s="8" t="s">
        <v>381</v>
      </c>
      <c r="J82" s="8" t="s">
        <v>350</v>
      </c>
      <c r="K82" s="4" t="n">
        <v>0.5</v>
      </c>
    </row>
    <row r="83" customFormat="false" ht="26.85" hidden="false" customHeight="false" outlineLevel="0" collapsed="false">
      <c r="A83" s="8" t="s">
        <v>553</v>
      </c>
      <c r="B83" s="8" t="s">
        <v>365</v>
      </c>
      <c r="C83" s="8" t="s">
        <v>576</v>
      </c>
      <c r="D83" s="8" t="s">
        <v>458</v>
      </c>
      <c r="E83" s="8" t="s">
        <v>459</v>
      </c>
      <c r="F83" s="8" t="s">
        <v>460</v>
      </c>
      <c r="G83" s="8" t="s">
        <v>461</v>
      </c>
      <c r="H83" s="8" t="s">
        <v>462</v>
      </c>
      <c r="I83" s="8" t="s">
        <v>381</v>
      </c>
      <c r="J83" s="8" t="s">
        <v>373</v>
      </c>
      <c r="K83" s="4" t="n">
        <v>0.5</v>
      </c>
    </row>
    <row r="84" customFormat="false" ht="15" hidden="false" customHeight="false" outlineLevel="0" collapsed="false">
      <c r="A84" s="8" t="s">
        <v>577</v>
      </c>
      <c r="B84" s="8" t="s">
        <v>351</v>
      </c>
      <c r="C84" s="4" t="s">
        <v>578</v>
      </c>
      <c r="D84" s="8" t="s">
        <v>579</v>
      </c>
      <c r="E84" s="8" t="s">
        <v>580</v>
      </c>
      <c r="F84" s="4" t="s">
        <v>581</v>
      </c>
      <c r="G84" s="8" t="s">
        <v>542</v>
      </c>
      <c r="H84" s="8" t="s">
        <v>582</v>
      </c>
      <c r="I84" s="8" t="s">
        <v>470</v>
      </c>
      <c r="J84" s="8" t="s">
        <v>343</v>
      </c>
      <c r="K84" s="4" t="n">
        <v>1.1</v>
      </c>
    </row>
    <row r="85" customFormat="false" ht="15" hidden="false" customHeight="false" outlineLevel="0" collapsed="false">
      <c r="A85" s="8" t="s">
        <v>577</v>
      </c>
      <c r="B85" s="8" t="s">
        <v>19</v>
      </c>
      <c r="C85" s="8" t="s">
        <v>583</v>
      </c>
      <c r="D85" s="8" t="s">
        <v>584</v>
      </c>
      <c r="E85" s="8" t="s">
        <v>585</v>
      </c>
      <c r="F85" s="4" t="s">
        <v>586</v>
      </c>
      <c r="G85" s="8" t="s">
        <v>587</v>
      </c>
      <c r="H85" s="8" t="s">
        <v>588</v>
      </c>
      <c r="I85" s="8" t="s">
        <v>470</v>
      </c>
      <c r="J85" s="8" t="s">
        <v>343</v>
      </c>
      <c r="K85" s="4" t="n">
        <v>0.9</v>
      </c>
    </row>
    <row r="86" customFormat="false" ht="26.85" hidden="false" customHeight="false" outlineLevel="0" collapsed="false">
      <c r="A86" s="8" t="s">
        <v>577</v>
      </c>
      <c r="B86" s="8" t="s">
        <v>374</v>
      </c>
      <c r="C86" s="8" t="s">
        <v>589</v>
      </c>
      <c r="D86" s="8" t="s">
        <v>590</v>
      </c>
      <c r="E86" s="8" t="s">
        <v>414</v>
      </c>
      <c r="F86" s="8" t="s">
        <v>591</v>
      </c>
      <c r="G86" s="8" t="s">
        <v>592</v>
      </c>
      <c r="H86" s="8" t="s">
        <v>593</v>
      </c>
      <c r="I86" s="8" t="s">
        <v>381</v>
      </c>
      <c r="J86" s="8" t="s">
        <v>343</v>
      </c>
      <c r="K86" s="4" t="n">
        <v>0.5</v>
      </c>
    </row>
    <row r="87" customFormat="false" ht="26.85" hidden="false" customHeight="false" outlineLevel="0" collapsed="false">
      <c r="A87" s="8" t="s">
        <v>577</v>
      </c>
      <c r="B87" s="8" t="s">
        <v>365</v>
      </c>
      <c r="C87" s="8" t="s">
        <v>594</v>
      </c>
      <c r="D87" s="8" t="s">
        <v>595</v>
      </c>
      <c r="E87" s="8" t="s">
        <v>596</v>
      </c>
      <c r="F87" s="8" t="s">
        <v>597</v>
      </c>
      <c r="G87" s="8" t="s">
        <v>598</v>
      </c>
      <c r="H87" s="8" t="s">
        <v>599</v>
      </c>
      <c r="I87" s="8" t="s">
        <v>372</v>
      </c>
      <c r="J87" s="8" t="s">
        <v>373</v>
      </c>
      <c r="K87" s="4" t="n">
        <v>0.6</v>
      </c>
    </row>
    <row r="88" customFormat="false" ht="15" hidden="false" customHeight="false" outlineLevel="0" collapsed="false">
      <c r="A88" s="8" t="s">
        <v>600</v>
      </c>
      <c r="B88" s="8" t="s">
        <v>351</v>
      </c>
      <c r="C88" s="4" t="s">
        <v>601</v>
      </c>
      <c r="D88" s="8" t="s">
        <v>602</v>
      </c>
      <c r="E88" s="8" t="s">
        <v>603</v>
      </c>
      <c r="F88" s="4" t="s">
        <v>581</v>
      </c>
      <c r="G88" s="8" t="s">
        <v>542</v>
      </c>
      <c r="H88" s="8" t="s">
        <v>582</v>
      </c>
      <c r="I88" s="8" t="s">
        <v>470</v>
      </c>
      <c r="J88" s="8" t="s">
        <v>343</v>
      </c>
      <c r="K88" s="4" t="n">
        <v>1.1</v>
      </c>
    </row>
    <row r="89" customFormat="false" ht="26.85" hidden="false" customHeight="false" outlineLevel="0" collapsed="false">
      <c r="A89" s="8" t="s">
        <v>600</v>
      </c>
      <c r="B89" s="8" t="s">
        <v>19</v>
      </c>
      <c r="C89" s="8" t="s">
        <v>604</v>
      </c>
      <c r="D89" s="8" t="s">
        <v>605</v>
      </c>
      <c r="E89" s="8" t="s">
        <v>606</v>
      </c>
      <c r="F89" s="8" t="s">
        <v>607</v>
      </c>
      <c r="G89" s="8" t="s">
        <v>608</v>
      </c>
      <c r="H89" s="8" t="s">
        <v>609</v>
      </c>
      <c r="I89" s="8" t="s">
        <v>396</v>
      </c>
      <c r="J89" s="8" t="s">
        <v>343</v>
      </c>
      <c r="K89" s="4" t="n">
        <v>0.8</v>
      </c>
    </row>
    <row r="90" customFormat="false" ht="15" hidden="false" customHeight="false" outlineLevel="0" collapsed="false">
      <c r="A90" s="8" t="s">
        <v>600</v>
      </c>
      <c r="B90" s="8" t="s">
        <v>351</v>
      </c>
      <c r="C90" s="4" t="s">
        <v>610</v>
      </c>
      <c r="D90" s="4" t="s">
        <v>611</v>
      </c>
      <c r="E90" s="8" t="s">
        <v>612</v>
      </c>
      <c r="F90" s="8" t="s">
        <v>613</v>
      </c>
      <c r="G90" s="4" t="s">
        <v>614</v>
      </c>
      <c r="H90" s="4" t="s">
        <v>615</v>
      </c>
      <c r="I90" s="8" t="s">
        <v>470</v>
      </c>
      <c r="J90" s="8" t="s">
        <v>358</v>
      </c>
      <c r="K90" s="4" t="n">
        <v>0.7</v>
      </c>
    </row>
    <row r="91" customFormat="false" ht="15" hidden="false" customHeight="false" outlineLevel="0" collapsed="false">
      <c r="A91" s="8" t="s">
        <v>600</v>
      </c>
      <c r="B91" s="8" t="s">
        <v>19</v>
      </c>
      <c r="C91" s="8" t="s">
        <v>616</v>
      </c>
      <c r="D91" s="8" t="s">
        <v>617</v>
      </c>
      <c r="E91" s="8" t="s">
        <v>618</v>
      </c>
      <c r="F91" s="4" t="s">
        <v>586</v>
      </c>
      <c r="G91" s="8" t="s">
        <v>619</v>
      </c>
      <c r="H91" s="8" t="s">
        <v>620</v>
      </c>
      <c r="I91" s="8" t="s">
        <v>470</v>
      </c>
      <c r="J91" s="8" t="s">
        <v>343</v>
      </c>
      <c r="K91" s="4" t="n">
        <v>0.6</v>
      </c>
    </row>
    <row r="92" customFormat="false" ht="26.85" hidden="false" customHeight="false" outlineLevel="0" collapsed="false">
      <c r="A92" s="8" t="s">
        <v>600</v>
      </c>
      <c r="B92" s="8" t="s">
        <v>365</v>
      </c>
      <c r="C92" s="8" t="s">
        <v>594</v>
      </c>
      <c r="D92" s="8" t="s">
        <v>621</v>
      </c>
      <c r="E92" s="8" t="s">
        <v>622</v>
      </c>
      <c r="F92" s="8" t="s">
        <v>623</v>
      </c>
      <c r="G92" s="8" t="s">
        <v>598</v>
      </c>
      <c r="H92" s="8" t="s">
        <v>599</v>
      </c>
      <c r="I92" s="8" t="s">
        <v>372</v>
      </c>
      <c r="J92" s="8" t="s">
        <v>373</v>
      </c>
      <c r="K92" s="4" t="n">
        <v>0.6</v>
      </c>
    </row>
    <row r="93" customFormat="false" ht="15" hidden="false" customHeight="false" outlineLevel="0" collapsed="false">
      <c r="A93" s="8" t="s">
        <v>624</v>
      </c>
      <c r="B93" s="8" t="s">
        <v>351</v>
      </c>
      <c r="C93" s="4" t="s">
        <v>578</v>
      </c>
      <c r="D93" s="8" t="s">
        <v>579</v>
      </c>
      <c r="E93" s="8" t="s">
        <v>580</v>
      </c>
      <c r="F93" s="4" t="s">
        <v>581</v>
      </c>
      <c r="G93" s="8" t="s">
        <v>542</v>
      </c>
      <c r="H93" s="8" t="s">
        <v>582</v>
      </c>
      <c r="I93" s="8" t="s">
        <v>470</v>
      </c>
      <c r="J93" s="8" t="s">
        <v>343</v>
      </c>
      <c r="K93" s="4" t="n">
        <v>1.1</v>
      </c>
    </row>
    <row r="94" customFormat="false" ht="15" hidden="false" customHeight="false" outlineLevel="0" collapsed="false">
      <c r="A94" s="8" t="s">
        <v>624</v>
      </c>
      <c r="B94" s="8" t="s">
        <v>19</v>
      </c>
      <c r="C94" s="8" t="s">
        <v>583</v>
      </c>
      <c r="D94" s="8" t="s">
        <v>584</v>
      </c>
      <c r="E94" s="8" t="s">
        <v>585</v>
      </c>
      <c r="F94" s="4" t="s">
        <v>586</v>
      </c>
      <c r="G94" s="8" t="s">
        <v>587</v>
      </c>
      <c r="H94" s="8" t="s">
        <v>588</v>
      </c>
      <c r="I94" s="8" t="s">
        <v>470</v>
      </c>
      <c r="J94" s="8" t="s">
        <v>343</v>
      </c>
      <c r="K94" s="4" t="n">
        <v>0.9</v>
      </c>
    </row>
    <row r="95" customFormat="false" ht="26.85" hidden="false" customHeight="false" outlineLevel="0" collapsed="false">
      <c r="A95" s="8" t="s">
        <v>624</v>
      </c>
      <c r="B95" s="8" t="s">
        <v>374</v>
      </c>
      <c r="C95" s="8" t="s">
        <v>589</v>
      </c>
      <c r="D95" s="8" t="s">
        <v>590</v>
      </c>
      <c r="E95" s="8" t="s">
        <v>414</v>
      </c>
      <c r="F95" s="8" t="s">
        <v>591</v>
      </c>
      <c r="G95" s="8" t="s">
        <v>592</v>
      </c>
      <c r="H95" s="8" t="s">
        <v>593</v>
      </c>
      <c r="I95" s="8" t="s">
        <v>381</v>
      </c>
      <c r="J95" s="8" t="s">
        <v>343</v>
      </c>
      <c r="K95" s="4" t="n">
        <v>0.5</v>
      </c>
    </row>
    <row r="96" customFormat="false" ht="26.85" hidden="false" customHeight="false" outlineLevel="0" collapsed="false">
      <c r="A96" s="8" t="s">
        <v>624</v>
      </c>
      <c r="B96" s="8" t="s">
        <v>365</v>
      </c>
      <c r="C96" s="8" t="s">
        <v>594</v>
      </c>
      <c r="D96" s="8" t="s">
        <v>595</v>
      </c>
      <c r="E96" s="8" t="s">
        <v>596</v>
      </c>
      <c r="F96" s="8" t="s">
        <v>597</v>
      </c>
      <c r="G96" s="8" t="s">
        <v>598</v>
      </c>
      <c r="H96" s="8" t="s">
        <v>599</v>
      </c>
      <c r="I96" s="8" t="s">
        <v>372</v>
      </c>
      <c r="J96" s="8" t="s">
        <v>373</v>
      </c>
      <c r="K96" s="4" t="n">
        <v>0.6</v>
      </c>
    </row>
    <row r="97" customFormat="false" ht="15" hidden="false" customHeight="false" outlineLevel="0" collapsed="false">
      <c r="A97" s="8" t="s">
        <v>625</v>
      </c>
      <c r="B97" s="8" t="s">
        <v>351</v>
      </c>
      <c r="C97" s="4" t="s">
        <v>601</v>
      </c>
      <c r="D97" s="8" t="s">
        <v>602</v>
      </c>
      <c r="E97" s="8" t="s">
        <v>603</v>
      </c>
      <c r="F97" s="4" t="s">
        <v>581</v>
      </c>
      <c r="G97" s="8" t="s">
        <v>542</v>
      </c>
      <c r="H97" s="8" t="s">
        <v>582</v>
      </c>
      <c r="I97" s="8" t="s">
        <v>470</v>
      </c>
      <c r="J97" s="8" t="s">
        <v>343</v>
      </c>
      <c r="K97" s="4" t="n">
        <v>1.1</v>
      </c>
    </row>
    <row r="98" customFormat="false" ht="26.85" hidden="false" customHeight="false" outlineLevel="0" collapsed="false">
      <c r="A98" s="8" t="s">
        <v>625</v>
      </c>
      <c r="B98" s="8" t="s">
        <v>19</v>
      </c>
      <c r="C98" s="8" t="s">
        <v>604</v>
      </c>
      <c r="D98" s="8" t="s">
        <v>605</v>
      </c>
      <c r="E98" s="8" t="s">
        <v>606</v>
      </c>
      <c r="F98" s="8" t="s">
        <v>607</v>
      </c>
      <c r="G98" s="8" t="s">
        <v>608</v>
      </c>
      <c r="H98" s="8" t="s">
        <v>609</v>
      </c>
      <c r="I98" s="8" t="s">
        <v>396</v>
      </c>
      <c r="J98" s="8" t="s">
        <v>343</v>
      </c>
      <c r="K98" s="4" t="n">
        <v>0.8</v>
      </c>
    </row>
    <row r="99" customFormat="false" ht="15" hidden="false" customHeight="false" outlineLevel="0" collapsed="false">
      <c r="A99" s="8" t="s">
        <v>625</v>
      </c>
      <c r="B99" s="8" t="s">
        <v>351</v>
      </c>
      <c r="C99" s="4" t="s">
        <v>610</v>
      </c>
      <c r="D99" s="4" t="s">
        <v>611</v>
      </c>
      <c r="E99" s="8" t="s">
        <v>612</v>
      </c>
      <c r="F99" s="8" t="s">
        <v>613</v>
      </c>
      <c r="G99" s="4" t="s">
        <v>614</v>
      </c>
      <c r="H99" s="4" t="s">
        <v>615</v>
      </c>
      <c r="I99" s="8" t="s">
        <v>470</v>
      </c>
      <c r="J99" s="8" t="s">
        <v>358</v>
      </c>
      <c r="K99" s="4" t="n">
        <v>0.7</v>
      </c>
    </row>
    <row r="100" customFormat="false" ht="15" hidden="false" customHeight="false" outlineLevel="0" collapsed="false">
      <c r="A100" s="8" t="s">
        <v>625</v>
      </c>
      <c r="B100" s="8" t="s">
        <v>19</v>
      </c>
      <c r="C100" s="8" t="s">
        <v>616</v>
      </c>
      <c r="D100" s="8" t="s">
        <v>617</v>
      </c>
      <c r="E100" s="8" t="s">
        <v>618</v>
      </c>
      <c r="F100" s="4" t="s">
        <v>586</v>
      </c>
      <c r="G100" s="8" t="s">
        <v>619</v>
      </c>
      <c r="H100" s="8" t="s">
        <v>620</v>
      </c>
      <c r="I100" s="8" t="s">
        <v>470</v>
      </c>
      <c r="J100" s="8" t="s">
        <v>343</v>
      </c>
      <c r="K100" s="4" t="n">
        <v>0.6</v>
      </c>
    </row>
    <row r="101" customFormat="false" ht="26.85" hidden="false" customHeight="false" outlineLevel="0" collapsed="false">
      <c r="A101" s="8" t="s">
        <v>625</v>
      </c>
      <c r="B101" s="8" t="s">
        <v>365</v>
      </c>
      <c r="C101" s="8" t="s">
        <v>594</v>
      </c>
      <c r="D101" s="8" t="s">
        <v>621</v>
      </c>
      <c r="E101" s="8" t="s">
        <v>622</v>
      </c>
      <c r="F101" s="8" t="s">
        <v>623</v>
      </c>
      <c r="G101" s="8" t="s">
        <v>598</v>
      </c>
      <c r="H101" s="8" t="s">
        <v>599</v>
      </c>
      <c r="I101" s="8" t="s">
        <v>372</v>
      </c>
      <c r="J101" s="8" t="s">
        <v>373</v>
      </c>
      <c r="K101" s="4" t="n">
        <v>0.6</v>
      </c>
    </row>
    <row r="102" customFormat="false" ht="26.85" hidden="false" customHeight="false" outlineLevel="0" collapsed="false">
      <c r="A102" s="8" t="s">
        <v>626</v>
      </c>
      <c r="B102" s="8" t="s">
        <v>374</v>
      </c>
      <c r="C102" s="4" t="s">
        <v>627</v>
      </c>
      <c r="D102" s="4" t="s">
        <v>628</v>
      </c>
      <c r="E102" s="8" t="s">
        <v>629</v>
      </c>
      <c r="F102" s="8" t="s">
        <v>630</v>
      </c>
      <c r="G102" s="8" t="s">
        <v>631</v>
      </c>
      <c r="H102" s="8" t="s">
        <v>632</v>
      </c>
      <c r="I102" s="8" t="s">
        <v>633</v>
      </c>
      <c r="J102" s="8" t="s">
        <v>489</v>
      </c>
      <c r="K102" s="4" t="n">
        <v>1.2</v>
      </c>
    </row>
    <row r="103" customFormat="false" ht="26.85" hidden="false" customHeight="false" outlineLevel="0" collapsed="false">
      <c r="A103" s="8" t="s">
        <v>626</v>
      </c>
      <c r="B103" s="8" t="s">
        <v>19</v>
      </c>
      <c r="C103" s="4" t="s">
        <v>634</v>
      </c>
      <c r="D103" s="8" t="s">
        <v>635</v>
      </c>
      <c r="E103" s="8" t="s">
        <v>636</v>
      </c>
      <c r="F103" s="8" t="s">
        <v>637</v>
      </c>
      <c r="G103" s="8" t="s">
        <v>638</v>
      </c>
      <c r="H103" s="4" t="s">
        <v>639</v>
      </c>
      <c r="I103" s="8" t="s">
        <v>470</v>
      </c>
      <c r="J103" s="8" t="s">
        <v>350</v>
      </c>
      <c r="K103" s="4" t="n">
        <v>0.8</v>
      </c>
    </row>
    <row r="104" customFormat="false" ht="26.85" hidden="false" customHeight="false" outlineLevel="0" collapsed="false">
      <c r="A104" s="8" t="s">
        <v>626</v>
      </c>
      <c r="B104" s="8" t="s">
        <v>389</v>
      </c>
      <c r="C104" s="8" t="s">
        <v>640</v>
      </c>
      <c r="D104" s="8" t="s">
        <v>641</v>
      </c>
      <c r="E104" s="4" t="s">
        <v>392</v>
      </c>
      <c r="F104" s="8" t="s">
        <v>642</v>
      </c>
      <c r="G104" s="8" t="s">
        <v>643</v>
      </c>
      <c r="H104" s="8" t="s">
        <v>644</v>
      </c>
      <c r="I104" s="8" t="s">
        <v>645</v>
      </c>
      <c r="J104" s="8" t="s">
        <v>389</v>
      </c>
      <c r="K104" s="4" t="n">
        <v>0.4</v>
      </c>
    </row>
    <row r="105" customFormat="false" ht="26.85" hidden="false" customHeight="false" outlineLevel="0" collapsed="false">
      <c r="A105" s="8" t="s">
        <v>626</v>
      </c>
      <c r="B105" s="8" t="s">
        <v>365</v>
      </c>
      <c r="C105" s="8" t="s">
        <v>646</v>
      </c>
      <c r="D105" s="8" t="s">
        <v>458</v>
      </c>
      <c r="E105" s="8" t="s">
        <v>459</v>
      </c>
      <c r="F105" s="8" t="s">
        <v>460</v>
      </c>
      <c r="G105" s="8" t="s">
        <v>461</v>
      </c>
      <c r="H105" s="8" t="s">
        <v>462</v>
      </c>
      <c r="I105" s="8" t="s">
        <v>381</v>
      </c>
      <c r="J105" s="8" t="s">
        <v>373</v>
      </c>
      <c r="K105" s="4" t="n">
        <v>0.5</v>
      </c>
    </row>
    <row r="106" customFormat="false" ht="26.85" hidden="false" customHeight="false" outlineLevel="0" collapsed="false">
      <c r="A106" s="4" t="s">
        <v>647</v>
      </c>
      <c r="B106" s="8" t="s">
        <v>374</v>
      </c>
      <c r="C106" s="8" t="s">
        <v>648</v>
      </c>
      <c r="D106" s="8" t="s">
        <v>649</v>
      </c>
      <c r="E106" s="8" t="s">
        <v>414</v>
      </c>
      <c r="F106" s="8" t="s">
        <v>650</v>
      </c>
      <c r="G106" s="8" t="s">
        <v>651</v>
      </c>
      <c r="H106" s="8" t="s">
        <v>652</v>
      </c>
      <c r="I106" s="8" t="s">
        <v>381</v>
      </c>
      <c r="J106" s="8" t="s">
        <v>653</v>
      </c>
      <c r="K106" s="4" t="n">
        <v>1.3</v>
      </c>
    </row>
    <row r="107" customFormat="false" ht="15" hidden="false" customHeight="false" outlineLevel="0" collapsed="false">
      <c r="A107" s="4" t="s">
        <v>647</v>
      </c>
      <c r="B107" s="8" t="s">
        <v>374</v>
      </c>
      <c r="C107" s="8" t="s">
        <v>654</v>
      </c>
      <c r="D107" s="8" t="s">
        <v>655</v>
      </c>
      <c r="E107" s="8" t="s">
        <v>414</v>
      </c>
      <c r="F107" s="8" t="s">
        <v>656</v>
      </c>
      <c r="G107" s="8" t="s">
        <v>657</v>
      </c>
      <c r="H107" s="8" t="s">
        <v>658</v>
      </c>
      <c r="I107" s="8" t="s">
        <v>381</v>
      </c>
      <c r="J107" s="8" t="s">
        <v>358</v>
      </c>
      <c r="K107" s="4" t="n">
        <v>0.5</v>
      </c>
    </row>
    <row r="108" customFormat="false" ht="26.85" hidden="false" customHeight="false" outlineLevel="0" collapsed="false">
      <c r="A108" s="4" t="s">
        <v>647</v>
      </c>
      <c r="B108" s="8" t="s">
        <v>365</v>
      </c>
      <c r="C108" s="4" t="s">
        <v>659</v>
      </c>
      <c r="D108" s="8" t="s">
        <v>458</v>
      </c>
      <c r="E108" s="8" t="s">
        <v>459</v>
      </c>
      <c r="F108" s="8" t="s">
        <v>460</v>
      </c>
      <c r="G108" s="8" t="s">
        <v>461</v>
      </c>
      <c r="H108" s="8" t="s">
        <v>462</v>
      </c>
      <c r="I108" s="8" t="s">
        <v>381</v>
      </c>
      <c r="J108" s="8" t="s">
        <v>373</v>
      </c>
      <c r="K108" s="4" t="n">
        <v>0.5</v>
      </c>
    </row>
    <row r="109" customFormat="false" ht="26.85" hidden="false" customHeight="false" outlineLevel="0" collapsed="false">
      <c r="A109" s="8" t="s">
        <v>660</v>
      </c>
      <c r="B109" s="8" t="s">
        <v>374</v>
      </c>
      <c r="C109" s="8" t="s">
        <v>661</v>
      </c>
      <c r="D109" s="8" t="s">
        <v>662</v>
      </c>
      <c r="E109" s="8" t="s">
        <v>532</v>
      </c>
      <c r="F109" s="8" t="s">
        <v>663</v>
      </c>
      <c r="G109" s="8" t="s">
        <v>664</v>
      </c>
      <c r="H109" s="8" t="s">
        <v>665</v>
      </c>
      <c r="I109" s="8" t="s">
        <v>381</v>
      </c>
      <c r="J109" s="8" t="s">
        <v>350</v>
      </c>
      <c r="K109" s="4" t="n">
        <v>1.1</v>
      </c>
    </row>
    <row r="110" customFormat="false" ht="15" hidden="false" customHeight="false" outlineLevel="0" collapsed="false">
      <c r="A110" s="8" t="s">
        <v>660</v>
      </c>
      <c r="B110" s="8" t="s">
        <v>19</v>
      </c>
      <c r="C110" s="8" t="s">
        <v>666</v>
      </c>
      <c r="D110" s="8" t="s">
        <v>667</v>
      </c>
      <c r="E110" s="8" t="s">
        <v>453</v>
      </c>
      <c r="F110" s="8" t="s">
        <v>668</v>
      </c>
      <c r="G110" s="8" t="s">
        <v>669</v>
      </c>
      <c r="H110" s="8" t="s">
        <v>481</v>
      </c>
      <c r="I110" s="8" t="s">
        <v>470</v>
      </c>
      <c r="J110" s="8" t="s">
        <v>350</v>
      </c>
      <c r="K110" s="4" t="n">
        <v>0.7</v>
      </c>
    </row>
    <row r="111" customFormat="false" ht="15" hidden="false" customHeight="false" outlineLevel="0" collapsed="false">
      <c r="A111" s="8" t="s">
        <v>660</v>
      </c>
      <c r="B111" s="8" t="s">
        <v>19</v>
      </c>
      <c r="C111" s="8" t="s">
        <v>670</v>
      </c>
      <c r="D111" s="4" t="s">
        <v>671</v>
      </c>
      <c r="E111" s="8" t="s">
        <v>672</v>
      </c>
      <c r="F111" s="4" t="s">
        <v>673</v>
      </c>
      <c r="G111" s="8" t="s">
        <v>674</v>
      </c>
      <c r="H111" s="8" t="s">
        <v>675</v>
      </c>
      <c r="I111" s="8" t="s">
        <v>470</v>
      </c>
      <c r="J111" s="8" t="s">
        <v>350</v>
      </c>
      <c r="K111" s="4" t="n">
        <v>0.9</v>
      </c>
    </row>
    <row r="112" customFormat="false" ht="26.85" hidden="false" customHeight="false" outlineLevel="0" collapsed="false">
      <c r="A112" s="8" t="s">
        <v>660</v>
      </c>
      <c r="B112" s="8" t="s">
        <v>389</v>
      </c>
      <c r="C112" s="8" t="s">
        <v>676</v>
      </c>
      <c r="D112" s="4" t="s">
        <v>677</v>
      </c>
      <c r="E112" s="4" t="s">
        <v>392</v>
      </c>
      <c r="F112" s="8" t="s">
        <v>678</v>
      </c>
      <c r="G112" s="8" t="s">
        <v>643</v>
      </c>
      <c r="H112" s="8" t="s">
        <v>644</v>
      </c>
      <c r="I112" s="8" t="s">
        <v>470</v>
      </c>
      <c r="J112" s="8" t="s">
        <v>389</v>
      </c>
      <c r="K112" s="4" t="n">
        <v>0.7</v>
      </c>
    </row>
    <row r="113" customFormat="false" ht="26.85" hidden="false" customHeight="false" outlineLevel="0" collapsed="false">
      <c r="A113" s="8" t="s">
        <v>660</v>
      </c>
      <c r="B113" s="8" t="s">
        <v>365</v>
      </c>
      <c r="C113" s="8" t="s">
        <v>679</v>
      </c>
      <c r="D113" s="8" t="s">
        <v>680</v>
      </c>
      <c r="E113" s="8" t="s">
        <v>681</v>
      </c>
      <c r="F113" s="8" t="s">
        <v>682</v>
      </c>
      <c r="G113" s="8" t="s">
        <v>683</v>
      </c>
      <c r="H113" s="8" t="s">
        <v>684</v>
      </c>
      <c r="I113" s="8" t="s">
        <v>381</v>
      </c>
      <c r="J113" s="8" t="s">
        <v>685</v>
      </c>
      <c r="K113" s="4" t="n">
        <v>0.5</v>
      </c>
    </row>
    <row r="114" customFormat="false" ht="15" hidden="false" customHeight="false" outlineLevel="0" collapsed="false">
      <c r="A114" s="8" t="s">
        <v>686</v>
      </c>
      <c r="B114" s="8" t="s">
        <v>19</v>
      </c>
      <c r="C114" s="8" t="s">
        <v>687</v>
      </c>
      <c r="D114" s="8" t="s">
        <v>688</v>
      </c>
      <c r="E114" s="8" t="s">
        <v>689</v>
      </c>
      <c r="F114" s="4" t="s">
        <v>690</v>
      </c>
      <c r="G114" s="4" t="s">
        <v>691</v>
      </c>
      <c r="H114" s="8" t="s">
        <v>692</v>
      </c>
      <c r="I114" s="8" t="s">
        <v>470</v>
      </c>
      <c r="J114" s="8" t="s">
        <v>350</v>
      </c>
      <c r="K114" s="4" t="n">
        <v>1.2</v>
      </c>
    </row>
    <row r="115" customFormat="false" ht="26.85" hidden="false" customHeight="false" outlineLevel="0" collapsed="false">
      <c r="A115" s="8" t="s">
        <v>686</v>
      </c>
      <c r="B115" s="8" t="s">
        <v>389</v>
      </c>
      <c r="C115" s="8" t="s">
        <v>693</v>
      </c>
      <c r="D115" s="8" t="s">
        <v>694</v>
      </c>
      <c r="E115" s="8" t="s">
        <v>414</v>
      </c>
      <c r="F115" s="8" t="s">
        <v>695</v>
      </c>
      <c r="G115" s="8" t="s">
        <v>696</v>
      </c>
      <c r="H115" s="8" t="s">
        <v>697</v>
      </c>
      <c r="I115" s="8" t="s">
        <v>381</v>
      </c>
      <c r="J115" s="8" t="s">
        <v>389</v>
      </c>
      <c r="K115" s="4" t="n">
        <v>0.9</v>
      </c>
    </row>
    <row r="116" customFormat="false" ht="15" hidden="false" customHeight="false" outlineLevel="0" collapsed="false">
      <c r="A116" s="8" t="s">
        <v>686</v>
      </c>
      <c r="B116" s="8" t="s">
        <v>374</v>
      </c>
      <c r="C116" s="8" t="s">
        <v>698</v>
      </c>
      <c r="D116" s="8" t="s">
        <v>699</v>
      </c>
      <c r="E116" s="8" t="s">
        <v>700</v>
      </c>
      <c r="F116" s="8" t="s">
        <v>701</v>
      </c>
      <c r="G116" s="8" t="s">
        <v>702</v>
      </c>
      <c r="H116" s="8" t="s">
        <v>703</v>
      </c>
      <c r="I116" s="8" t="s">
        <v>381</v>
      </c>
      <c r="J116" s="8" t="s">
        <v>350</v>
      </c>
      <c r="K116" s="4" t="n">
        <v>0.7</v>
      </c>
    </row>
    <row r="117" customFormat="false" ht="39.55" hidden="false" customHeight="false" outlineLevel="0" collapsed="false">
      <c r="A117" s="8" t="s">
        <v>704</v>
      </c>
      <c r="B117" s="8" t="s">
        <v>19</v>
      </c>
      <c r="C117" s="8" t="s">
        <v>344</v>
      </c>
      <c r="D117" s="8" t="s">
        <v>420</v>
      </c>
      <c r="E117" s="8" t="s">
        <v>346</v>
      </c>
      <c r="F117" s="8" t="s">
        <v>347</v>
      </c>
      <c r="G117" s="4" t="s">
        <v>348</v>
      </c>
      <c r="H117" s="8" t="s">
        <v>349</v>
      </c>
      <c r="I117" s="8" t="s">
        <v>342</v>
      </c>
      <c r="J117" s="8" t="s">
        <v>350</v>
      </c>
      <c r="K117" s="4" t="n">
        <v>1.1</v>
      </c>
    </row>
    <row r="118" customFormat="false" ht="15" hidden="false" customHeight="false" outlineLevel="0" collapsed="false">
      <c r="A118" s="8" t="s">
        <v>704</v>
      </c>
      <c r="B118" s="8" t="s">
        <v>374</v>
      </c>
      <c r="C118" s="4" t="s">
        <v>705</v>
      </c>
      <c r="D118" s="4" t="s">
        <v>706</v>
      </c>
      <c r="E118" s="8" t="s">
        <v>707</v>
      </c>
      <c r="F118" s="8" t="s">
        <v>474</v>
      </c>
      <c r="G118" s="8" t="s">
        <v>708</v>
      </c>
      <c r="H118" s="4" t="s">
        <v>709</v>
      </c>
      <c r="I118" s="8" t="s">
        <v>470</v>
      </c>
      <c r="J118" s="8" t="s">
        <v>382</v>
      </c>
      <c r="K118" s="4" t="n">
        <v>1</v>
      </c>
    </row>
    <row r="119" customFormat="false" ht="26.85" hidden="false" customHeight="false" outlineLevel="0" collapsed="false">
      <c r="A119" s="8" t="s">
        <v>704</v>
      </c>
      <c r="B119" s="8" t="s">
        <v>365</v>
      </c>
      <c r="C119" s="8" t="s">
        <v>528</v>
      </c>
      <c r="D119" s="8" t="s">
        <v>458</v>
      </c>
      <c r="E119" s="8" t="s">
        <v>459</v>
      </c>
      <c r="F119" s="8" t="s">
        <v>460</v>
      </c>
      <c r="G119" s="8" t="s">
        <v>461</v>
      </c>
      <c r="H119" s="8" t="s">
        <v>462</v>
      </c>
      <c r="I119" s="8" t="s">
        <v>381</v>
      </c>
      <c r="J119" s="8" t="s">
        <v>373</v>
      </c>
      <c r="K119" s="4" t="n">
        <v>0.5</v>
      </c>
    </row>
    <row r="120" customFormat="false" ht="39.55" hidden="false" customHeight="false" outlineLevel="0" collapsed="false">
      <c r="A120" s="8" t="s">
        <v>710</v>
      </c>
      <c r="B120" s="8" t="s">
        <v>19</v>
      </c>
      <c r="C120" s="8" t="s">
        <v>344</v>
      </c>
      <c r="D120" s="8" t="s">
        <v>420</v>
      </c>
      <c r="E120" s="8" t="s">
        <v>346</v>
      </c>
      <c r="F120" s="8" t="s">
        <v>347</v>
      </c>
      <c r="G120" s="4" t="s">
        <v>348</v>
      </c>
      <c r="H120" s="8" t="s">
        <v>349</v>
      </c>
      <c r="I120" s="8" t="s">
        <v>342</v>
      </c>
      <c r="J120" s="8" t="s">
        <v>350</v>
      </c>
      <c r="K120" s="4" t="n">
        <v>1.2</v>
      </c>
    </row>
    <row r="121" customFormat="false" ht="15" hidden="false" customHeight="false" outlineLevel="0" collapsed="false">
      <c r="A121" s="8" t="s">
        <v>710</v>
      </c>
      <c r="B121" s="8" t="s">
        <v>351</v>
      </c>
      <c r="C121" s="8" t="s">
        <v>711</v>
      </c>
      <c r="D121" s="4" t="s">
        <v>712</v>
      </c>
      <c r="E121" s="8" t="s">
        <v>713</v>
      </c>
      <c r="F121" s="8" t="s">
        <v>714</v>
      </c>
      <c r="G121" s="8" t="s">
        <v>708</v>
      </c>
      <c r="H121" s="8" t="s">
        <v>715</v>
      </c>
      <c r="I121" s="8" t="s">
        <v>470</v>
      </c>
      <c r="J121" s="8" t="s">
        <v>382</v>
      </c>
      <c r="K121" s="4" t="n">
        <v>0.7</v>
      </c>
    </row>
    <row r="122" customFormat="false" ht="26.85" hidden="false" customHeight="false" outlineLevel="0" collapsed="false">
      <c r="A122" s="8" t="s">
        <v>710</v>
      </c>
      <c r="B122" s="8" t="s">
        <v>365</v>
      </c>
      <c r="C122" s="8" t="s">
        <v>716</v>
      </c>
      <c r="D122" s="8" t="s">
        <v>458</v>
      </c>
      <c r="E122" s="8" t="s">
        <v>459</v>
      </c>
      <c r="F122" s="8" t="s">
        <v>460</v>
      </c>
      <c r="G122" s="8" t="s">
        <v>461</v>
      </c>
      <c r="H122" s="8" t="s">
        <v>462</v>
      </c>
      <c r="I122" s="8" t="s">
        <v>381</v>
      </c>
      <c r="J122" s="8" t="s">
        <v>373</v>
      </c>
      <c r="K122" s="4" t="n">
        <v>0.5</v>
      </c>
    </row>
    <row r="123" customFormat="false" ht="39.55" hidden="false" customHeight="false" outlineLevel="0" collapsed="false">
      <c r="A123" s="4" t="s">
        <v>717</v>
      </c>
      <c r="B123" s="8" t="s">
        <v>19</v>
      </c>
      <c r="C123" s="8" t="s">
        <v>344</v>
      </c>
      <c r="D123" s="8" t="s">
        <v>718</v>
      </c>
      <c r="E123" s="8" t="s">
        <v>719</v>
      </c>
      <c r="F123" s="8" t="s">
        <v>720</v>
      </c>
      <c r="G123" s="8" t="s">
        <v>721</v>
      </c>
      <c r="H123" s="4" t="s">
        <v>722</v>
      </c>
      <c r="I123" s="8" t="s">
        <v>342</v>
      </c>
      <c r="J123" s="8" t="s">
        <v>350</v>
      </c>
      <c r="K123" s="4" t="n">
        <v>1.1</v>
      </c>
    </row>
    <row r="124" customFormat="false" ht="15" hidden="false" customHeight="false" outlineLevel="0" collapsed="false">
      <c r="A124" s="4" t="s">
        <v>717</v>
      </c>
      <c r="B124" s="8" t="s">
        <v>374</v>
      </c>
      <c r="C124" s="4" t="s">
        <v>723</v>
      </c>
      <c r="D124" s="4" t="s">
        <v>724</v>
      </c>
      <c r="E124" s="8" t="s">
        <v>707</v>
      </c>
      <c r="F124" s="8" t="s">
        <v>725</v>
      </c>
      <c r="G124" s="8" t="s">
        <v>475</v>
      </c>
      <c r="H124" s="4" t="s">
        <v>476</v>
      </c>
      <c r="I124" s="8" t="s">
        <v>470</v>
      </c>
      <c r="J124" s="8" t="s">
        <v>382</v>
      </c>
      <c r="K124" s="4" t="n">
        <v>1</v>
      </c>
    </row>
    <row r="125" customFormat="false" ht="26.85" hidden="false" customHeight="false" outlineLevel="0" collapsed="false">
      <c r="A125" s="4" t="s">
        <v>717</v>
      </c>
      <c r="B125" s="8" t="s">
        <v>389</v>
      </c>
      <c r="C125" s="8" t="s">
        <v>726</v>
      </c>
      <c r="D125" s="8" t="s">
        <v>727</v>
      </c>
      <c r="E125" s="4" t="s">
        <v>392</v>
      </c>
      <c r="F125" s="8" t="s">
        <v>728</v>
      </c>
      <c r="G125" s="8" t="s">
        <v>729</v>
      </c>
      <c r="H125" s="8" t="s">
        <v>730</v>
      </c>
      <c r="I125" s="8" t="s">
        <v>396</v>
      </c>
      <c r="J125" s="8" t="s">
        <v>389</v>
      </c>
      <c r="K125" s="4" t="n">
        <v>0.4</v>
      </c>
    </row>
    <row r="126" customFormat="false" ht="52.2" hidden="false" customHeight="false" outlineLevel="0" collapsed="false">
      <c r="A126" s="4" t="s">
        <v>717</v>
      </c>
      <c r="B126" s="8" t="s">
        <v>365</v>
      </c>
      <c r="C126" s="4" t="s">
        <v>731</v>
      </c>
      <c r="D126" s="4" t="s">
        <v>732</v>
      </c>
      <c r="E126" s="8" t="s">
        <v>459</v>
      </c>
      <c r="F126" s="8" t="s">
        <v>733</v>
      </c>
      <c r="G126" s="8" t="s">
        <v>734</v>
      </c>
      <c r="H126" s="4" t="s">
        <v>735</v>
      </c>
      <c r="I126" s="8" t="s">
        <v>381</v>
      </c>
      <c r="J126" s="8" t="s">
        <v>373</v>
      </c>
      <c r="K126" s="4" t="n">
        <v>0.5</v>
      </c>
    </row>
    <row r="127" customFormat="false" ht="39.55" hidden="false" customHeight="false" outlineLevel="0" collapsed="false">
      <c r="A127" s="4" t="s">
        <v>736</v>
      </c>
      <c r="B127" s="8" t="s">
        <v>19</v>
      </c>
      <c r="C127" s="8" t="s">
        <v>344</v>
      </c>
      <c r="D127" s="8" t="s">
        <v>718</v>
      </c>
      <c r="E127" s="8" t="s">
        <v>719</v>
      </c>
      <c r="F127" s="8" t="s">
        <v>720</v>
      </c>
      <c r="G127" s="8" t="s">
        <v>721</v>
      </c>
      <c r="H127" s="4" t="s">
        <v>722</v>
      </c>
      <c r="I127" s="8" t="s">
        <v>342</v>
      </c>
      <c r="J127" s="8" t="s">
        <v>350</v>
      </c>
      <c r="K127" s="4" t="n">
        <v>1.1</v>
      </c>
    </row>
    <row r="128" customFormat="false" ht="15" hidden="false" customHeight="false" outlineLevel="0" collapsed="false">
      <c r="A128" s="4" t="s">
        <v>736</v>
      </c>
      <c r="B128" s="8" t="s">
        <v>374</v>
      </c>
      <c r="C128" s="4" t="s">
        <v>723</v>
      </c>
      <c r="D128" s="4" t="s">
        <v>724</v>
      </c>
      <c r="E128" s="8" t="s">
        <v>707</v>
      </c>
      <c r="F128" s="8" t="s">
        <v>725</v>
      </c>
      <c r="G128" s="8" t="s">
        <v>475</v>
      </c>
      <c r="H128" s="4" t="s">
        <v>476</v>
      </c>
      <c r="I128" s="8" t="s">
        <v>470</v>
      </c>
      <c r="J128" s="8" t="s">
        <v>382</v>
      </c>
      <c r="K128" s="4" t="n">
        <v>1</v>
      </c>
    </row>
    <row r="129" customFormat="false" ht="52.2" hidden="false" customHeight="false" outlineLevel="0" collapsed="false">
      <c r="A129" s="4" t="s">
        <v>736</v>
      </c>
      <c r="B129" s="8" t="s">
        <v>365</v>
      </c>
      <c r="C129" s="4" t="s">
        <v>731</v>
      </c>
      <c r="D129" s="4" t="s">
        <v>732</v>
      </c>
      <c r="E129" s="8" t="s">
        <v>459</v>
      </c>
      <c r="F129" s="8" t="s">
        <v>733</v>
      </c>
      <c r="G129" s="8" t="s">
        <v>734</v>
      </c>
      <c r="H129" s="4" t="s">
        <v>735</v>
      </c>
      <c r="I129" s="8" t="s">
        <v>381</v>
      </c>
      <c r="J129" s="8" t="s">
        <v>373</v>
      </c>
      <c r="K129" s="4" t="n">
        <v>0.5</v>
      </c>
    </row>
    <row r="130" customFormat="false" ht="39.55" hidden="false" customHeight="false" outlineLevel="0" collapsed="false">
      <c r="A130" s="4" t="s">
        <v>737</v>
      </c>
      <c r="B130" s="8" t="s">
        <v>19</v>
      </c>
      <c r="C130" s="8" t="s">
        <v>344</v>
      </c>
      <c r="D130" s="8" t="s">
        <v>718</v>
      </c>
      <c r="E130" s="8" t="s">
        <v>719</v>
      </c>
      <c r="F130" s="8" t="s">
        <v>720</v>
      </c>
      <c r="G130" s="8" t="s">
        <v>721</v>
      </c>
      <c r="H130" s="4" t="s">
        <v>722</v>
      </c>
      <c r="I130" s="8" t="s">
        <v>342</v>
      </c>
      <c r="J130" s="8" t="s">
        <v>350</v>
      </c>
      <c r="K130" s="4" t="n">
        <v>1.1</v>
      </c>
    </row>
    <row r="131" customFormat="false" ht="15" hidden="false" customHeight="false" outlineLevel="0" collapsed="false">
      <c r="A131" s="4" t="s">
        <v>737</v>
      </c>
      <c r="B131" s="8" t="s">
        <v>374</v>
      </c>
      <c r="C131" s="8" t="s">
        <v>421</v>
      </c>
      <c r="D131" s="4" t="s">
        <v>738</v>
      </c>
      <c r="E131" s="8" t="s">
        <v>739</v>
      </c>
      <c r="F131" s="8" t="s">
        <v>740</v>
      </c>
      <c r="G131" s="8" t="s">
        <v>741</v>
      </c>
      <c r="H131" s="8" t="s">
        <v>742</v>
      </c>
      <c r="I131" s="8" t="s">
        <v>342</v>
      </c>
      <c r="J131" s="8" t="s">
        <v>382</v>
      </c>
      <c r="K131" s="4" t="n">
        <v>1</v>
      </c>
    </row>
    <row r="132" customFormat="false" ht="26.85" hidden="false" customHeight="false" outlineLevel="0" collapsed="false">
      <c r="A132" s="4" t="s">
        <v>737</v>
      </c>
      <c r="B132" s="8" t="s">
        <v>374</v>
      </c>
      <c r="C132" s="8" t="s">
        <v>743</v>
      </c>
      <c r="D132" s="8" t="s">
        <v>744</v>
      </c>
      <c r="E132" s="8" t="s">
        <v>435</v>
      </c>
      <c r="F132" s="8" t="s">
        <v>745</v>
      </c>
      <c r="G132" s="8" t="s">
        <v>746</v>
      </c>
      <c r="H132" s="8" t="s">
        <v>747</v>
      </c>
      <c r="I132" s="8" t="s">
        <v>396</v>
      </c>
      <c r="J132" s="8" t="s">
        <v>382</v>
      </c>
      <c r="K132" s="4" t="n">
        <v>0.7</v>
      </c>
    </row>
    <row r="133" customFormat="false" ht="52.2" hidden="false" customHeight="false" outlineLevel="0" collapsed="false">
      <c r="A133" s="4" t="s">
        <v>737</v>
      </c>
      <c r="B133" s="8" t="s">
        <v>365</v>
      </c>
      <c r="C133" s="4" t="s">
        <v>731</v>
      </c>
      <c r="D133" s="4" t="s">
        <v>732</v>
      </c>
      <c r="E133" s="8" t="s">
        <v>459</v>
      </c>
      <c r="F133" s="8" t="s">
        <v>733</v>
      </c>
      <c r="G133" s="8" t="s">
        <v>734</v>
      </c>
      <c r="H133" s="4" t="s">
        <v>735</v>
      </c>
      <c r="I133" s="8" t="s">
        <v>381</v>
      </c>
      <c r="J133" s="8" t="s">
        <v>373</v>
      </c>
      <c r="K133" s="4" t="n">
        <v>0.5</v>
      </c>
    </row>
    <row r="134" customFormat="false" ht="26.85" hidden="false" customHeight="false" outlineLevel="0" collapsed="false">
      <c r="A134" s="4" t="s">
        <v>748</v>
      </c>
      <c r="B134" s="8" t="s">
        <v>374</v>
      </c>
      <c r="C134" s="8" t="s">
        <v>749</v>
      </c>
      <c r="D134" s="8" t="s">
        <v>750</v>
      </c>
      <c r="E134" s="8" t="s">
        <v>751</v>
      </c>
      <c r="F134" s="8" t="s">
        <v>752</v>
      </c>
      <c r="G134" s="8" t="s">
        <v>753</v>
      </c>
      <c r="H134" s="8" t="s">
        <v>652</v>
      </c>
      <c r="I134" s="8" t="s">
        <v>381</v>
      </c>
      <c r="J134" s="8" t="s">
        <v>653</v>
      </c>
      <c r="K134" s="4" t="n">
        <v>1.3</v>
      </c>
    </row>
    <row r="135" customFormat="false" ht="26.85" hidden="false" customHeight="false" outlineLevel="0" collapsed="false">
      <c r="A135" s="4" t="s">
        <v>748</v>
      </c>
      <c r="B135" s="8" t="s">
        <v>389</v>
      </c>
      <c r="C135" s="8" t="s">
        <v>726</v>
      </c>
      <c r="D135" s="8" t="s">
        <v>727</v>
      </c>
      <c r="E135" s="4" t="s">
        <v>392</v>
      </c>
      <c r="F135" s="8" t="s">
        <v>728</v>
      </c>
      <c r="G135" s="8" t="s">
        <v>729</v>
      </c>
      <c r="H135" s="8" t="s">
        <v>730</v>
      </c>
      <c r="I135" s="8" t="s">
        <v>396</v>
      </c>
      <c r="J135" s="8" t="s">
        <v>389</v>
      </c>
      <c r="K135" s="4" t="n">
        <v>0.4</v>
      </c>
    </row>
    <row r="136" customFormat="false" ht="52.2" hidden="false" customHeight="false" outlineLevel="0" collapsed="false">
      <c r="A136" s="4" t="s">
        <v>748</v>
      </c>
      <c r="B136" s="8" t="s">
        <v>365</v>
      </c>
      <c r="C136" s="4" t="s">
        <v>731</v>
      </c>
      <c r="D136" s="4" t="s">
        <v>732</v>
      </c>
      <c r="E136" s="8" t="s">
        <v>459</v>
      </c>
      <c r="F136" s="8" t="s">
        <v>733</v>
      </c>
      <c r="G136" s="8" t="s">
        <v>734</v>
      </c>
      <c r="H136" s="4" t="s">
        <v>735</v>
      </c>
      <c r="I136" s="8" t="s">
        <v>381</v>
      </c>
      <c r="J136" s="8" t="s">
        <v>373</v>
      </c>
      <c r="K136" s="4" t="n">
        <v>0.5</v>
      </c>
    </row>
    <row r="137" customFormat="false" ht="15" hidden="false" customHeight="false" outlineLevel="0" collapsed="false">
      <c r="A137" s="4" t="s">
        <v>754</v>
      </c>
      <c r="B137" s="8" t="s">
        <v>351</v>
      </c>
      <c r="C137" s="4" t="s">
        <v>755</v>
      </c>
      <c r="D137" s="4" t="s">
        <v>756</v>
      </c>
      <c r="E137" s="8" t="s">
        <v>757</v>
      </c>
      <c r="F137" s="8" t="s">
        <v>758</v>
      </c>
      <c r="G137" s="8" t="s">
        <v>759</v>
      </c>
      <c r="H137" s="4" t="s">
        <v>760</v>
      </c>
      <c r="I137" s="8" t="s">
        <v>470</v>
      </c>
      <c r="J137" s="8" t="s">
        <v>382</v>
      </c>
      <c r="K137" s="4" t="n">
        <v>0.9</v>
      </c>
    </row>
    <row r="138" customFormat="false" ht="26.85" hidden="false" customHeight="false" outlineLevel="0" collapsed="false">
      <c r="A138" s="4" t="s">
        <v>754</v>
      </c>
      <c r="B138" s="8" t="s">
        <v>389</v>
      </c>
      <c r="C138" s="8" t="s">
        <v>726</v>
      </c>
      <c r="D138" s="8" t="s">
        <v>727</v>
      </c>
      <c r="E138" s="4" t="s">
        <v>392</v>
      </c>
      <c r="F138" s="8" t="s">
        <v>728</v>
      </c>
      <c r="G138" s="8" t="s">
        <v>729</v>
      </c>
      <c r="H138" s="8" t="s">
        <v>730</v>
      </c>
      <c r="I138" s="8" t="s">
        <v>396</v>
      </c>
      <c r="J138" s="8" t="s">
        <v>389</v>
      </c>
      <c r="K138" s="4" t="n">
        <v>0.4</v>
      </c>
    </row>
    <row r="139" customFormat="false" ht="52.2" hidden="false" customHeight="false" outlineLevel="0" collapsed="false">
      <c r="A139" s="4" t="s">
        <v>754</v>
      </c>
      <c r="B139" s="8" t="s">
        <v>365</v>
      </c>
      <c r="C139" s="4" t="s">
        <v>731</v>
      </c>
      <c r="D139" s="4" t="s">
        <v>732</v>
      </c>
      <c r="E139" s="8" t="s">
        <v>459</v>
      </c>
      <c r="F139" s="8" t="s">
        <v>733</v>
      </c>
      <c r="G139" s="8" t="s">
        <v>734</v>
      </c>
      <c r="H139" s="4" t="s">
        <v>735</v>
      </c>
      <c r="I139" s="8" t="s">
        <v>381</v>
      </c>
      <c r="J139" s="8" t="s">
        <v>373</v>
      </c>
      <c r="K139" s="4" t="n">
        <v>0.5</v>
      </c>
    </row>
    <row r="140" customFormat="false" ht="39.55" hidden="false" customHeight="false" outlineLevel="0" collapsed="false">
      <c r="A140" s="8" t="s">
        <v>761</v>
      </c>
      <c r="B140" s="8" t="s">
        <v>374</v>
      </c>
      <c r="C140" s="8" t="s">
        <v>762</v>
      </c>
      <c r="D140" s="8" t="s">
        <v>763</v>
      </c>
      <c r="E140" s="8" t="s">
        <v>764</v>
      </c>
      <c r="F140" s="8" t="s">
        <v>765</v>
      </c>
      <c r="G140" s="8" t="s">
        <v>766</v>
      </c>
      <c r="H140" s="8" t="s">
        <v>767</v>
      </c>
      <c r="I140" s="8" t="s">
        <v>396</v>
      </c>
      <c r="J140" s="8" t="s">
        <v>382</v>
      </c>
      <c r="K140" s="4" t="n">
        <v>1.3</v>
      </c>
    </row>
    <row r="141" customFormat="false" ht="39.55" hidden="false" customHeight="false" outlineLevel="0" collapsed="false">
      <c r="A141" s="8" t="s">
        <v>761</v>
      </c>
      <c r="B141" s="8" t="s">
        <v>389</v>
      </c>
      <c r="C141" s="8" t="s">
        <v>768</v>
      </c>
      <c r="D141" s="8" t="s">
        <v>769</v>
      </c>
      <c r="E141" s="8" t="s">
        <v>606</v>
      </c>
      <c r="F141" s="8" t="s">
        <v>770</v>
      </c>
      <c r="G141" s="8" t="s">
        <v>771</v>
      </c>
      <c r="H141" s="8" t="s">
        <v>772</v>
      </c>
      <c r="I141" s="8" t="s">
        <v>396</v>
      </c>
      <c r="J141" s="8" t="s">
        <v>343</v>
      </c>
      <c r="K141" s="4" t="n">
        <v>1</v>
      </c>
    </row>
    <row r="142" customFormat="false" ht="39.55" hidden="false" customHeight="false" outlineLevel="0" collapsed="false">
      <c r="A142" s="8" t="s">
        <v>761</v>
      </c>
      <c r="B142" s="8" t="s">
        <v>19</v>
      </c>
      <c r="C142" s="8" t="s">
        <v>773</v>
      </c>
      <c r="D142" s="4" t="s">
        <v>774</v>
      </c>
      <c r="E142" s="8" t="s">
        <v>775</v>
      </c>
      <c r="F142" s="8" t="s">
        <v>776</v>
      </c>
      <c r="G142" s="4" t="s">
        <v>777</v>
      </c>
      <c r="H142" s="8" t="s">
        <v>778</v>
      </c>
      <c r="I142" s="8" t="s">
        <v>645</v>
      </c>
      <c r="J142" s="8" t="s">
        <v>350</v>
      </c>
      <c r="K142" s="4" t="n">
        <v>0.8</v>
      </c>
    </row>
    <row r="143" customFormat="false" ht="26.85" hidden="false" customHeight="false" outlineLevel="0" collapsed="false">
      <c r="A143" s="8" t="s">
        <v>761</v>
      </c>
      <c r="B143" s="8" t="s">
        <v>351</v>
      </c>
      <c r="C143" s="8" t="s">
        <v>779</v>
      </c>
      <c r="D143" s="8" t="s">
        <v>780</v>
      </c>
      <c r="E143" s="8" t="s">
        <v>781</v>
      </c>
      <c r="F143" s="8" t="s">
        <v>782</v>
      </c>
      <c r="G143" s="4" t="s">
        <v>61</v>
      </c>
      <c r="H143" s="8" t="s">
        <v>783</v>
      </c>
      <c r="I143" s="8" t="s">
        <v>470</v>
      </c>
      <c r="J143" s="8" t="s">
        <v>358</v>
      </c>
      <c r="K143" s="4" t="n">
        <v>0.4</v>
      </c>
    </row>
    <row r="144" customFormat="false" ht="26.85" hidden="false" customHeight="false" outlineLevel="0" collapsed="false">
      <c r="A144" s="8" t="s">
        <v>761</v>
      </c>
      <c r="B144" s="8" t="s">
        <v>365</v>
      </c>
      <c r="C144" s="4" t="s">
        <v>784</v>
      </c>
      <c r="D144" s="8" t="s">
        <v>785</v>
      </c>
      <c r="E144" s="8" t="s">
        <v>459</v>
      </c>
      <c r="F144" s="8" t="s">
        <v>786</v>
      </c>
      <c r="G144" s="8" t="s">
        <v>787</v>
      </c>
      <c r="H144" s="8" t="s">
        <v>788</v>
      </c>
      <c r="I144" s="8" t="s">
        <v>372</v>
      </c>
      <c r="J144" s="8" t="s">
        <v>373</v>
      </c>
      <c r="K144" s="4" t="n">
        <v>0.5</v>
      </c>
    </row>
    <row r="145" customFormat="false" ht="39.55" hidden="false" customHeight="false" outlineLevel="0" collapsed="false">
      <c r="A145" s="8" t="s">
        <v>789</v>
      </c>
      <c r="B145" s="8" t="s">
        <v>374</v>
      </c>
      <c r="C145" s="8" t="s">
        <v>762</v>
      </c>
      <c r="D145" s="8" t="s">
        <v>763</v>
      </c>
      <c r="E145" s="8" t="s">
        <v>764</v>
      </c>
      <c r="F145" s="8" t="s">
        <v>765</v>
      </c>
      <c r="G145" s="8" t="s">
        <v>766</v>
      </c>
      <c r="H145" s="8" t="s">
        <v>767</v>
      </c>
      <c r="I145" s="8" t="s">
        <v>396</v>
      </c>
      <c r="J145" s="8" t="s">
        <v>382</v>
      </c>
      <c r="K145" s="4" t="n">
        <v>1.3</v>
      </c>
    </row>
    <row r="146" customFormat="false" ht="39.55" hidden="false" customHeight="false" outlineLevel="0" collapsed="false">
      <c r="A146" s="8" t="s">
        <v>789</v>
      </c>
      <c r="B146" s="8" t="s">
        <v>19</v>
      </c>
      <c r="C146" s="8" t="s">
        <v>773</v>
      </c>
      <c r="D146" s="4" t="s">
        <v>774</v>
      </c>
      <c r="E146" s="8" t="s">
        <v>775</v>
      </c>
      <c r="F146" s="8" t="s">
        <v>776</v>
      </c>
      <c r="G146" s="4" t="s">
        <v>777</v>
      </c>
      <c r="H146" s="8" t="s">
        <v>778</v>
      </c>
      <c r="I146" s="8" t="s">
        <v>645</v>
      </c>
      <c r="J146" s="8" t="s">
        <v>350</v>
      </c>
      <c r="K146" s="4" t="n">
        <v>0.8</v>
      </c>
    </row>
    <row r="147" customFormat="false" ht="26.85" hidden="false" customHeight="false" outlineLevel="0" collapsed="false">
      <c r="A147" s="8" t="s">
        <v>789</v>
      </c>
      <c r="B147" s="8" t="s">
        <v>365</v>
      </c>
      <c r="C147" s="8" t="s">
        <v>790</v>
      </c>
      <c r="D147" s="8" t="s">
        <v>458</v>
      </c>
      <c r="E147" s="8" t="s">
        <v>459</v>
      </c>
      <c r="F147" s="8" t="s">
        <v>460</v>
      </c>
      <c r="G147" s="8" t="s">
        <v>461</v>
      </c>
      <c r="H147" s="8" t="s">
        <v>462</v>
      </c>
      <c r="I147" s="8" t="s">
        <v>381</v>
      </c>
      <c r="J147" s="8" t="s">
        <v>373</v>
      </c>
      <c r="K147" s="4" t="n">
        <v>0.5</v>
      </c>
    </row>
    <row r="148" customFormat="false" ht="39.55" hidden="false" customHeight="false" outlineLevel="0" collapsed="false">
      <c r="A148" s="8" t="s">
        <v>791</v>
      </c>
      <c r="B148" s="8" t="s">
        <v>374</v>
      </c>
      <c r="C148" s="8" t="s">
        <v>792</v>
      </c>
      <c r="D148" s="8" t="s">
        <v>793</v>
      </c>
      <c r="E148" s="8" t="s">
        <v>414</v>
      </c>
      <c r="F148" s="8" t="s">
        <v>765</v>
      </c>
      <c r="G148" s="8" t="s">
        <v>766</v>
      </c>
      <c r="H148" s="8" t="s">
        <v>767</v>
      </c>
      <c r="I148" s="8" t="s">
        <v>381</v>
      </c>
      <c r="J148" s="8" t="s">
        <v>382</v>
      </c>
      <c r="K148" s="4" t="n">
        <v>1.2</v>
      </c>
    </row>
    <row r="149" customFormat="false" ht="26.85" hidden="false" customHeight="false" outlineLevel="0" collapsed="false">
      <c r="A149" s="8" t="s">
        <v>791</v>
      </c>
      <c r="B149" s="8" t="s">
        <v>389</v>
      </c>
      <c r="C149" s="8" t="s">
        <v>794</v>
      </c>
      <c r="D149" s="8" t="s">
        <v>795</v>
      </c>
      <c r="E149" s="8" t="s">
        <v>414</v>
      </c>
      <c r="F149" s="8" t="s">
        <v>796</v>
      </c>
      <c r="G149" s="8" t="s">
        <v>797</v>
      </c>
      <c r="H149" s="8" t="s">
        <v>798</v>
      </c>
      <c r="I149" s="8" t="s">
        <v>645</v>
      </c>
      <c r="J149" s="8" t="s">
        <v>389</v>
      </c>
      <c r="K149" s="4" t="n">
        <v>0.6</v>
      </c>
    </row>
    <row r="150" customFormat="false" ht="26.85" hidden="false" customHeight="false" outlineLevel="0" collapsed="false">
      <c r="A150" s="8" t="s">
        <v>791</v>
      </c>
      <c r="B150" s="8" t="s">
        <v>365</v>
      </c>
      <c r="C150" s="8" t="s">
        <v>799</v>
      </c>
      <c r="D150" s="8" t="s">
        <v>458</v>
      </c>
      <c r="E150" s="8" t="s">
        <v>459</v>
      </c>
      <c r="F150" s="8" t="s">
        <v>460</v>
      </c>
      <c r="G150" s="8" t="s">
        <v>461</v>
      </c>
      <c r="H150" s="8" t="s">
        <v>462</v>
      </c>
      <c r="I150" s="8" t="s">
        <v>381</v>
      </c>
      <c r="J150" s="8" t="s">
        <v>373</v>
      </c>
      <c r="K150" s="4" t="n">
        <v>0.5</v>
      </c>
    </row>
    <row r="151" customFormat="false" ht="26.85" hidden="false" customHeight="false" outlineLevel="0" collapsed="false">
      <c r="A151" s="8" t="s">
        <v>800</v>
      </c>
      <c r="B151" s="8" t="s">
        <v>389</v>
      </c>
      <c r="C151" s="8" t="s">
        <v>801</v>
      </c>
      <c r="D151" s="8" t="s">
        <v>802</v>
      </c>
      <c r="E151" s="8" t="s">
        <v>385</v>
      </c>
      <c r="F151" s="8" t="s">
        <v>803</v>
      </c>
      <c r="G151" s="8" t="s">
        <v>804</v>
      </c>
      <c r="H151" s="8" t="s">
        <v>805</v>
      </c>
      <c r="I151" s="8" t="s">
        <v>381</v>
      </c>
      <c r="J151" s="8" t="s">
        <v>343</v>
      </c>
      <c r="K151" s="4" t="n">
        <v>1.2</v>
      </c>
    </row>
    <row r="152" customFormat="false" ht="26.85" hidden="false" customHeight="false" outlineLevel="0" collapsed="false">
      <c r="A152" s="8" t="s">
        <v>800</v>
      </c>
      <c r="B152" s="8" t="s">
        <v>351</v>
      </c>
      <c r="C152" s="8" t="s">
        <v>806</v>
      </c>
      <c r="D152" s="8" t="s">
        <v>807</v>
      </c>
      <c r="E152" s="8" t="s">
        <v>414</v>
      </c>
      <c r="F152" s="4" t="s">
        <v>808</v>
      </c>
      <c r="G152" s="8" t="s">
        <v>809</v>
      </c>
      <c r="H152" s="8" t="s">
        <v>810</v>
      </c>
      <c r="I152" s="8" t="s">
        <v>381</v>
      </c>
      <c r="J152" s="8" t="s">
        <v>358</v>
      </c>
      <c r="K152" s="4" t="n">
        <v>0.6</v>
      </c>
    </row>
    <row r="153" customFormat="false" ht="26.85" hidden="false" customHeight="false" outlineLevel="0" collapsed="false">
      <c r="A153" s="8" t="s">
        <v>800</v>
      </c>
      <c r="B153" s="8" t="s">
        <v>365</v>
      </c>
      <c r="C153" s="8" t="s">
        <v>811</v>
      </c>
      <c r="D153" s="8" t="s">
        <v>458</v>
      </c>
      <c r="E153" s="8" t="s">
        <v>459</v>
      </c>
      <c r="F153" s="8" t="s">
        <v>460</v>
      </c>
      <c r="G153" s="8" t="s">
        <v>461</v>
      </c>
      <c r="H153" s="8" t="s">
        <v>462</v>
      </c>
      <c r="I153" s="8" t="s">
        <v>381</v>
      </c>
      <c r="J153" s="8" t="s">
        <v>373</v>
      </c>
      <c r="K153" s="4" t="n">
        <v>0.5</v>
      </c>
    </row>
    <row r="154" customFormat="false" ht="15" hidden="false" customHeight="false" outlineLevel="0" collapsed="false">
      <c r="A154" s="8" t="s">
        <v>812</v>
      </c>
      <c r="B154" s="8" t="s">
        <v>389</v>
      </c>
      <c r="C154" s="8" t="s">
        <v>813</v>
      </c>
      <c r="D154" s="8" t="s">
        <v>814</v>
      </c>
      <c r="E154" s="8" t="s">
        <v>414</v>
      </c>
      <c r="F154" s="8" t="s">
        <v>815</v>
      </c>
      <c r="G154" s="8" t="s">
        <v>816</v>
      </c>
      <c r="H154" s="8" t="s">
        <v>817</v>
      </c>
      <c r="I154" s="8" t="s">
        <v>818</v>
      </c>
      <c r="J154" s="8" t="s">
        <v>373</v>
      </c>
      <c r="K154" s="4" t="n">
        <v>1.2</v>
      </c>
    </row>
    <row r="155" customFormat="false" ht="15" hidden="false" customHeight="false" outlineLevel="0" collapsed="false">
      <c r="A155" s="8" t="s">
        <v>812</v>
      </c>
      <c r="B155" s="8" t="s">
        <v>365</v>
      </c>
      <c r="C155" s="8" t="s">
        <v>819</v>
      </c>
      <c r="D155" s="8" t="s">
        <v>820</v>
      </c>
      <c r="E155" s="8" t="s">
        <v>459</v>
      </c>
      <c r="F155" s="8" t="s">
        <v>821</v>
      </c>
      <c r="G155" s="8" t="s">
        <v>822</v>
      </c>
      <c r="H155" s="8" t="s">
        <v>823</v>
      </c>
      <c r="I155" s="8" t="s">
        <v>381</v>
      </c>
      <c r="J155" s="8" t="s">
        <v>373</v>
      </c>
      <c r="K155" s="4" t="n">
        <v>0.6</v>
      </c>
    </row>
    <row r="156" customFormat="false" ht="15" hidden="false" customHeight="false" outlineLevel="0" collapsed="false">
      <c r="A156" s="8" t="s">
        <v>824</v>
      </c>
      <c r="B156" s="8" t="s">
        <v>389</v>
      </c>
      <c r="C156" s="8" t="s">
        <v>813</v>
      </c>
      <c r="D156" s="8" t="s">
        <v>814</v>
      </c>
      <c r="E156" s="8" t="s">
        <v>414</v>
      </c>
      <c r="F156" s="8" t="s">
        <v>815</v>
      </c>
      <c r="G156" s="8" t="s">
        <v>816</v>
      </c>
      <c r="H156" s="8" t="s">
        <v>817</v>
      </c>
      <c r="I156" s="8" t="s">
        <v>818</v>
      </c>
      <c r="J156" s="8" t="s">
        <v>373</v>
      </c>
      <c r="K156" s="4" t="n">
        <v>1.2</v>
      </c>
    </row>
    <row r="157" customFormat="false" ht="15" hidden="false" customHeight="false" outlineLevel="0" collapsed="false">
      <c r="A157" s="8" t="s">
        <v>824</v>
      </c>
      <c r="B157" s="8" t="s">
        <v>365</v>
      </c>
      <c r="C157" s="8" t="s">
        <v>819</v>
      </c>
      <c r="D157" s="8" t="s">
        <v>820</v>
      </c>
      <c r="E157" s="8" t="s">
        <v>459</v>
      </c>
      <c r="F157" s="8" t="s">
        <v>821</v>
      </c>
      <c r="G157" s="8" t="s">
        <v>822</v>
      </c>
      <c r="H157" s="8" t="s">
        <v>823</v>
      </c>
      <c r="I157" s="8" t="s">
        <v>381</v>
      </c>
      <c r="J157" s="8" t="s">
        <v>373</v>
      </c>
      <c r="K157" s="4" t="n">
        <v>0.6</v>
      </c>
    </row>
    <row r="158" customFormat="false" ht="15" hidden="false" customHeight="false" outlineLevel="0" collapsed="false">
      <c r="A158" s="8" t="s">
        <v>825</v>
      </c>
      <c r="B158" s="8" t="s">
        <v>389</v>
      </c>
      <c r="C158" s="8" t="s">
        <v>813</v>
      </c>
      <c r="D158" s="8" t="s">
        <v>814</v>
      </c>
      <c r="E158" s="8" t="s">
        <v>414</v>
      </c>
      <c r="F158" s="8" t="s">
        <v>815</v>
      </c>
      <c r="G158" s="8" t="s">
        <v>816</v>
      </c>
      <c r="H158" s="8" t="s">
        <v>817</v>
      </c>
      <c r="I158" s="8" t="s">
        <v>818</v>
      </c>
      <c r="J158" s="8" t="s">
        <v>373</v>
      </c>
      <c r="K158" s="4" t="n">
        <v>1.2</v>
      </c>
    </row>
    <row r="159" customFormat="false" ht="15" hidden="false" customHeight="false" outlineLevel="0" collapsed="false">
      <c r="A159" s="8" t="s">
        <v>825</v>
      </c>
      <c r="B159" s="8" t="s">
        <v>365</v>
      </c>
      <c r="C159" s="8" t="s">
        <v>819</v>
      </c>
      <c r="D159" s="8" t="s">
        <v>820</v>
      </c>
      <c r="E159" s="8" t="s">
        <v>459</v>
      </c>
      <c r="F159" s="8" t="s">
        <v>821</v>
      </c>
      <c r="G159" s="8" t="s">
        <v>822</v>
      </c>
      <c r="H159" s="8" t="s">
        <v>823</v>
      </c>
      <c r="I159" s="8" t="s">
        <v>381</v>
      </c>
      <c r="J159" s="8" t="s">
        <v>373</v>
      </c>
      <c r="K159" s="4" t="n">
        <v>0.6</v>
      </c>
    </row>
    <row r="161" customFormat="false" ht="15" hidden="false" customHeight="false" outlineLevel="0" collapsed="false">
      <c r="A161" s="2" t="s">
        <v>826</v>
      </c>
    </row>
  </sheetData>
  <autoFilter ref="A1:K15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34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6" min="6" style="0" width="8"/>
  </cols>
  <sheetData>
    <row r="1" customFormat="false" ht="30" hidden="false" customHeight="true" outlineLevel="0" collapsed="false">
      <c r="A1" s="10" t="s">
        <v>827</v>
      </c>
      <c r="B1" s="10" t="s">
        <v>828</v>
      </c>
      <c r="C1" s="10" t="s">
        <v>54</v>
      </c>
      <c r="D1" s="10" t="s">
        <v>37</v>
      </c>
      <c r="E1" s="10" t="s">
        <v>38</v>
      </c>
      <c r="F1" s="10" t="s">
        <v>829</v>
      </c>
    </row>
    <row r="2" customFormat="false" ht="15" hidden="false" customHeight="false" outlineLevel="0" collapsed="false">
      <c r="A2" s="8" t="s">
        <v>830</v>
      </c>
      <c r="B2" s="4" t="s">
        <v>831</v>
      </c>
      <c r="C2" s="8" t="s">
        <v>832</v>
      </c>
      <c r="D2" s="4" t="s">
        <v>61</v>
      </c>
      <c r="E2" s="4" t="s">
        <v>59</v>
      </c>
      <c r="F2" s="8" t="s">
        <v>829</v>
      </c>
    </row>
    <row r="3" customFormat="false" ht="15" hidden="false" customHeight="false" outlineLevel="0" collapsed="false">
      <c r="A3" s="8" t="s">
        <v>830</v>
      </c>
      <c r="B3" s="4" t="s">
        <v>56</v>
      </c>
      <c r="C3" s="8" t="s">
        <v>57</v>
      </c>
      <c r="D3" s="4" t="s">
        <v>58</v>
      </c>
      <c r="E3" s="4" t="s">
        <v>59</v>
      </c>
      <c r="F3" s="8" t="s">
        <v>833</v>
      </c>
    </row>
    <row r="4" customFormat="false" ht="15" hidden="false" customHeight="false" outlineLevel="0" collapsed="false">
      <c r="A4" s="8" t="s">
        <v>830</v>
      </c>
      <c r="B4" s="4" t="s">
        <v>64</v>
      </c>
      <c r="C4" s="8" t="s">
        <v>65</v>
      </c>
      <c r="D4" s="4" t="s">
        <v>58</v>
      </c>
      <c r="E4" s="4" t="s">
        <v>59</v>
      </c>
      <c r="F4" s="8" t="s">
        <v>833</v>
      </c>
    </row>
    <row r="5" customFormat="false" ht="15" hidden="false" customHeight="false" outlineLevel="0" collapsed="false">
      <c r="A5" s="8" t="s">
        <v>830</v>
      </c>
      <c r="B5" s="4" t="s">
        <v>66</v>
      </c>
      <c r="C5" s="8" t="s">
        <v>67</v>
      </c>
      <c r="D5" s="4" t="s">
        <v>58</v>
      </c>
      <c r="E5" s="4" t="s">
        <v>59</v>
      </c>
      <c r="F5" s="8" t="s">
        <v>833</v>
      </c>
    </row>
    <row r="6" customFormat="false" ht="15" hidden="false" customHeight="false" outlineLevel="0" collapsed="false">
      <c r="A6" s="8" t="s">
        <v>830</v>
      </c>
      <c r="B6" s="4" t="s">
        <v>68</v>
      </c>
      <c r="C6" s="8" t="s">
        <v>69</v>
      </c>
      <c r="D6" s="4" t="s">
        <v>58</v>
      </c>
      <c r="E6" s="4" t="s">
        <v>59</v>
      </c>
      <c r="F6" s="8" t="s">
        <v>833</v>
      </c>
    </row>
    <row r="7" customFormat="false" ht="15" hidden="false" customHeight="false" outlineLevel="0" collapsed="false">
      <c r="A7" s="8" t="s">
        <v>830</v>
      </c>
      <c r="B7" s="4" t="s">
        <v>76</v>
      </c>
      <c r="C7" s="8" t="s">
        <v>77</v>
      </c>
      <c r="D7" s="4" t="s">
        <v>58</v>
      </c>
      <c r="E7" s="4" t="s">
        <v>59</v>
      </c>
      <c r="F7" s="8" t="s">
        <v>833</v>
      </c>
    </row>
    <row r="8" customFormat="false" ht="15" hidden="false" customHeight="false" outlineLevel="0" collapsed="false">
      <c r="A8" s="8" t="s">
        <v>830</v>
      </c>
      <c r="B8" s="4" t="s">
        <v>70</v>
      </c>
      <c r="C8" s="8" t="s">
        <v>71</v>
      </c>
      <c r="D8" s="4" t="s">
        <v>58</v>
      </c>
      <c r="E8" s="4" t="s">
        <v>59</v>
      </c>
      <c r="F8" s="8" t="s">
        <v>833</v>
      </c>
    </row>
    <row r="9" customFormat="false" ht="15" hidden="false" customHeight="false" outlineLevel="0" collapsed="false">
      <c r="A9" s="8" t="s">
        <v>830</v>
      </c>
      <c r="B9" s="4" t="s">
        <v>72</v>
      </c>
      <c r="C9" s="8" t="s">
        <v>73</v>
      </c>
      <c r="D9" s="4" t="s">
        <v>58</v>
      </c>
      <c r="E9" s="4" t="s">
        <v>59</v>
      </c>
      <c r="F9" s="8" t="s">
        <v>833</v>
      </c>
    </row>
    <row r="10" customFormat="false" ht="15" hidden="false" customHeight="false" outlineLevel="0" collapsed="false">
      <c r="A10" s="8" t="s">
        <v>830</v>
      </c>
      <c r="B10" s="4" t="s">
        <v>74</v>
      </c>
      <c r="C10" s="8" t="s">
        <v>75</v>
      </c>
      <c r="D10" s="4" t="s">
        <v>58</v>
      </c>
      <c r="E10" s="4" t="s">
        <v>59</v>
      </c>
      <c r="F10" s="8" t="s">
        <v>833</v>
      </c>
    </row>
    <row r="11" customFormat="false" ht="15" hidden="false" customHeight="false" outlineLevel="0" collapsed="false">
      <c r="A11" s="8" t="s">
        <v>830</v>
      </c>
      <c r="B11" s="4" t="s">
        <v>90</v>
      </c>
      <c r="C11" s="8" t="s">
        <v>91</v>
      </c>
      <c r="D11" s="4" t="s">
        <v>58</v>
      </c>
      <c r="E11" s="4" t="s">
        <v>59</v>
      </c>
      <c r="F11" s="8" t="s">
        <v>833</v>
      </c>
    </row>
    <row r="12" customFormat="false" ht="15" hidden="false" customHeight="false" outlineLevel="0" collapsed="false">
      <c r="A12" s="8" t="s">
        <v>830</v>
      </c>
      <c r="B12" s="4" t="s">
        <v>93</v>
      </c>
      <c r="C12" s="8" t="s">
        <v>94</v>
      </c>
      <c r="D12" s="4" t="s">
        <v>58</v>
      </c>
      <c r="E12" s="4" t="s">
        <v>59</v>
      </c>
      <c r="F12" s="8" t="s">
        <v>833</v>
      </c>
    </row>
    <row r="13" customFormat="false" ht="15" hidden="false" customHeight="false" outlineLevel="0" collapsed="false">
      <c r="A13" s="8" t="s">
        <v>830</v>
      </c>
      <c r="B13" s="4" t="s">
        <v>95</v>
      </c>
      <c r="C13" s="8" t="s">
        <v>96</v>
      </c>
      <c r="D13" s="4" t="s">
        <v>58</v>
      </c>
      <c r="E13" s="4" t="s">
        <v>59</v>
      </c>
      <c r="F13" s="8" t="s">
        <v>833</v>
      </c>
    </row>
    <row r="14" customFormat="false" ht="15" hidden="false" customHeight="false" outlineLevel="0" collapsed="false">
      <c r="A14" s="8" t="s">
        <v>834</v>
      </c>
      <c r="B14" s="4" t="s">
        <v>831</v>
      </c>
      <c r="C14" s="8" t="s">
        <v>832</v>
      </c>
      <c r="D14" s="4" t="s">
        <v>61</v>
      </c>
      <c r="E14" s="4" t="s">
        <v>103</v>
      </c>
      <c r="F14" s="8" t="s">
        <v>829</v>
      </c>
    </row>
    <row r="15" customFormat="false" ht="15" hidden="false" customHeight="false" outlineLevel="0" collapsed="false">
      <c r="A15" s="8" t="s">
        <v>834</v>
      </c>
      <c r="B15" s="4" t="s">
        <v>100</v>
      </c>
      <c r="C15" s="8" t="s">
        <v>101</v>
      </c>
      <c r="D15" s="4" t="s">
        <v>102</v>
      </c>
      <c r="E15" s="4" t="s">
        <v>103</v>
      </c>
      <c r="F15" s="8" t="s">
        <v>833</v>
      </c>
    </row>
    <row r="16" customFormat="false" ht="15" hidden="false" customHeight="false" outlineLevel="0" collapsed="false">
      <c r="A16" s="8" t="s">
        <v>834</v>
      </c>
      <c r="B16" s="4" t="s">
        <v>106</v>
      </c>
      <c r="C16" s="8" t="s">
        <v>107</v>
      </c>
      <c r="D16" s="4" t="s">
        <v>102</v>
      </c>
      <c r="E16" s="4" t="s">
        <v>103</v>
      </c>
      <c r="F16" s="8" t="s">
        <v>833</v>
      </c>
    </row>
    <row r="17" customFormat="false" ht="15" hidden="false" customHeight="false" outlineLevel="0" collapsed="false">
      <c r="A17" s="8" t="s">
        <v>834</v>
      </c>
      <c r="B17" s="4" t="s">
        <v>108</v>
      </c>
      <c r="C17" s="8" t="s">
        <v>109</v>
      </c>
      <c r="D17" s="4" t="s">
        <v>110</v>
      </c>
      <c r="E17" s="4" t="s">
        <v>103</v>
      </c>
      <c r="F17" s="8" t="s">
        <v>833</v>
      </c>
    </row>
    <row r="18" customFormat="false" ht="15" hidden="false" customHeight="false" outlineLevel="0" collapsed="false">
      <c r="A18" s="8" t="s">
        <v>834</v>
      </c>
      <c r="B18" s="4" t="s">
        <v>112</v>
      </c>
      <c r="C18" s="8" t="s">
        <v>113</v>
      </c>
      <c r="D18" s="4" t="s">
        <v>58</v>
      </c>
      <c r="E18" s="4" t="s">
        <v>103</v>
      </c>
      <c r="F18" s="8" t="s">
        <v>833</v>
      </c>
    </row>
    <row r="19" customFormat="false" ht="15" hidden="false" customHeight="false" outlineLevel="0" collapsed="false">
      <c r="A19" s="8" t="s">
        <v>834</v>
      </c>
      <c r="B19" s="4" t="s">
        <v>114</v>
      </c>
      <c r="C19" s="8" t="s">
        <v>115</v>
      </c>
      <c r="D19" s="4" t="s">
        <v>58</v>
      </c>
      <c r="E19" s="4" t="s">
        <v>103</v>
      </c>
      <c r="F19" s="8" t="s">
        <v>833</v>
      </c>
    </row>
    <row r="20" customFormat="false" ht="15" hidden="false" customHeight="false" outlineLevel="0" collapsed="false">
      <c r="A20" s="8" t="s">
        <v>834</v>
      </c>
      <c r="B20" s="4" t="s">
        <v>117</v>
      </c>
      <c r="C20" s="8" t="s">
        <v>118</v>
      </c>
      <c r="D20" s="4" t="s">
        <v>58</v>
      </c>
      <c r="E20" s="4" t="s">
        <v>103</v>
      </c>
      <c r="F20" s="8" t="s">
        <v>833</v>
      </c>
    </row>
    <row r="21" customFormat="false" ht="15" hidden="false" customHeight="false" outlineLevel="0" collapsed="false">
      <c r="A21" s="8" t="s">
        <v>834</v>
      </c>
      <c r="B21" s="4" t="s">
        <v>120</v>
      </c>
      <c r="C21" s="8" t="s">
        <v>121</v>
      </c>
      <c r="D21" s="4" t="s">
        <v>110</v>
      </c>
      <c r="E21" s="4" t="s">
        <v>103</v>
      </c>
      <c r="F21" s="8" t="s">
        <v>833</v>
      </c>
    </row>
    <row r="22" customFormat="false" ht="15" hidden="false" customHeight="false" outlineLevel="0" collapsed="false">
      <c r="A22" s="8" t="s">
        <v>834</v>
      </c>
      <c r="B22" s="4" t="s">
        <v>122</v>
      </c>
      <c r="C22" s="4" t="s">
        <v>123</v>
      </c>
      <c r="D22" s="4" t="s">
        <v>110</v>
      </c>
      <c r="E22" s="4" t="s">
        <v>103</v>
      </c>
      <c r="F22" s="8" t="s">
        <v>833</v>
      </c>
    </row>
    <row r="23" customFormat="false" ht="15" hidden="false" customHeight="false" outlineLevel="0" collapsed="false">
      <c r="A23" s="8" t="s">
        <v>28</v>
      </c>
      <c r="B23" s="4" t="s">
        <v>831</v>
      </c>
      <c r="C23" s="8" t="s">
        <v>832</v>
      </c>
      <c r="D23" s="4" t="s">
        <v>61</v>
      </c>
      <c r="E23" s="4" t="s">
        <v>59</v>
      </c>
      <c r="F23" s="8" t="s">
        <v>829</v>
      </c>
    </row>
    <row r="24" customFormat="false" ht="15" hidden="false" customHeight="false" outlineLevel="0" collapsed="false">
      <c r="A24" s="8" t="s">
        <v>28</v>
      </c>
      <c r="B24" s="4" t="s">
        <v>124</v>
      </c>
      <c r="C24" s="8" t="s">
        <v>125</v>
      </c>
      <c r="D24" s="4" t="s">
        <v>58</v>
      </c>
      <c r="E24" s="4" t="s">
        <v>59</v>
      </c>
      <c r="F24" s="8" t="s">
        <v>833</v>
      </c>
    </row>
    <row r="25" customFormat="false" ht="15" hidden="false" customHeight="false" outlineLevel="0" collapsed="false">
      <c r="A25" s="8" t="s">
        <v>28</v>
      </c>
      <c r="B25" s="4" t="s">
        <v>127</v>
      </c>
      <c r="C25" s="8" t="s">
        <v>128</v>
      </c>
      <c r="D25" s="4" t="s">
        <v>58</v>
      </c>
      <c r="E25" s="4" t="s">
        <v>59</v>
      </c>
      <c r="F25" s="8" t="s">
        <v>833</v>
      </c>
    </row>
    <row r="26" customFormat="false" ht="15" hidden="false" customHeight="false" outlineLevel="0" collapsed="false">
      <c r="A26" s="8" t="s">
        <v>28</v>
      </c>
      <c r="B26" s="4" t="s">
        <v>129</v>
      </c>
      <c r="C26" s="8" t="s">
        <v>130</v>
      </c>
      <c r="D26" s="4" t="s">
        <v>58</v>
      </c>
      <c r="E26" s="4" t="s">
        <v>59</v>
      </c>
      <c r="F26" s="8" t="s">
        <v>833</v>
      </c>
    </row>
    <row r="27" customFormat="false" ht="15" hidden="false" customHeight="false" outlineLevel="0" collapsed="false">
      <c r="A27" s="8" t="s">
        <v>28</v>
      </c>
      <c r="B27" s="4" t="s">
        <v>131</v>
      </c>
      <c r="C27" s="8" t="s">
        <v>132</v>
      </c>
      <c r="D27" s="4" t="s">
        <v>58</v>
      </c>
      <c r="E27" s="4" t="s">
        <v>59</v>
      </c>
      <c r="F27" s="8" t="s">
        <v>833</v>
      </c>
    </row>
    <row r="28" customFormat="false" ht="15" hidden="false" customHeight="false" outlineLevel="0" collapsed="false">
      <c r="A28" s="8" t="s">
        <v>28</v>
      </c>
      <c r="B28" s="4" t="s">
        <v>143</v>
      </c>
      <c r="C28" s="8" t="s">
        <v>144</v>
      </c>
      <c r="D28" s="4" t="s">
        <v>58</v>
      </c>
      <c r="E28" s="4" t="s">
        <v>59</v>
      </c>
      <c r="F28" s="8" t="s">
        <v>833</v>
      </c>
    </row>
    <row r="29" customFormat="false" ht="15" hidden="false" customHeight="false" outlineLevel="0" collapsed="false">
      <c r="A29" s="8" t="s">
        <v>28</v>
      </c>
      <c r="B29" s="4" t="s">
        <v>133</v>
      </c>
      <c r="C29" s="8" t="s">
        <v>134</v>
      </c>
      <c r="D29" s="4" t="s">
        <v>58</v>
      </c>
      <c r="E29" s="4" t="s">
        <v>59</v>
      </c>
      <c r="F29" s="8" t="s">
        <v>833</v>
      </c>
    </row>
    <row r="30" customFormat="false" ht="15" hidden="false" customHeight="false" outlineLevel="0" collapsed="false">
      <c r="A30" s="8" t="s">
        <v>28</v>
      </c>
      <c r="B30" s="4" t="s">
        <v>135</v>
      </c>
      <c r="C30" s="8" t="s">
        <v>136</v>
      </c>
      <c r="D30" s="4" t="s">
        <v>58</v>
      </c>
      <c r="E30" s="4" t="s">
        <v>59</v>
      </c>
      <c r="F30" s="8" t="s">
        <v>833</v>
      </c>
    </row>
    <row r="31" customFormat="false" ht="15" hidden="false" customHeight="false" outlineLevel="0" collapsed="false">
      <c r="A31" s="8" t="s">
        <v>28</v>
      </c>
      <c r="B31" s="4" t="s">
        <v>137</v>
      </c>
      <c r="C31" s="8" t="s">
        <v>138</v>
      </c>
      <c r="D31" s="4" t="s">
        <v>58</v>
      </c>
      <c r="E31" s="4" t="s">
        <v>59</v>
      </c>
      <c r="F31" s="8" t="s">
        <v>833</v>
      </c>
    </row>
    <row r="32" customFormat="false" ht="15" hidden="false" customHeight="false" outlineLevel="0" collapsed="false">
      <c r="A32" s="8" t="s">
        <v>28</v>
      </c>
      <c r="B32" s="4" t="s">
        <v>146</v>
      </c>
      <c r="C32" s="8" t="s">
        <v>147</v>
      </c>
      <c r="D32" s="4" t="s">
        <v>58</v>
      </c>
      <c r="E32" s="4" t="s">
        <v>59</v>
      </c>
      <c r="F32" s="8" t="s">
        <v>833</v>
      </c>
    </row>
    <row r="33" customFormat="false" ht="15" hidden="false" customHeight="false" outlineLevel="0" collapsed="false">
      <c r="A33" s="8" t="s">
        <v>28</v>
      </c>
      <c r="B33" s="4" t="s">
        <v>149</v>
      </c>
      <c r="C33" s="8" t="s">
        <v>150</v>
      </c>
      <c r="D33" s="4" t="s">
        <v>151</v>
      </c>
      <c r="E33" s="4" t="s">
        <v>59</v>
      </c>
      <c r="F33" s="8" t="s">
        <v>833</v>
      </c>
    </row>
    <row r="34" customFormat="false" ht="15" hidden="false" customHeight="false" outlineLevel="0" collapsed="false">
      <c r="A34" s="8" t="s">
        <v>835</v>
      </c>
      <c r="B34" s="4" t="s">
        <v>831</v>
      </c>
      <c r="C34" s="8" t="s">
        <v>832</v>
      </c>
      <c r="D34" s="4" t="s">
        <v>61</v>
      </c>
      <c r="E34" s="4" t="s">
        <v>59</v>
      </c>
      <c r="F34" s="8" t="s">
        <v>829</v>
      </c>
    </row>
    <row r="35" customFormat="false" ht="15" hidden="false" customHeight="false" outlineLevel="0" collapsed="false">
      <c r="A35" s="8" t="s">
        <v>835</v>
      </c>
      <c r="B35" s="4" t="s">
        <v>836</v>
      </c>
      <c r="C35" s="8" t="s">
        <v>837</v>
      </c>
      <c r="D35" s="4" t="s">
        <v>61</v>
      </c>
      <c r="E35" s="4" t="s">
        <v>59</v>
      </c>
      <c r="F35" s="8" t="s">
        <v>829</v>
      </c>
    </row>
    <row r="36" customFormat="false" ht="15" hidden="false" customHeight="false" outlineLevel="0" collapsed="false">
      <c r="A36" s="8" t="s">
        <v>835</v>
      </c>
      <c r="B36" s="4" t="s">
        <v>200</v>
      </c>
      <c r="C36" s="8" t="s">
        <v>201</v>
      </c>
      <c r="D36" s="4" t="s">
        <v>202</v>
      </c>
      <c r="E36" s="4" t="s">
        <v>59</v>
      </c>
      <c r="F36" s="8" t="s">
        <v>833</v>
      </c>
    </row>
    <row r="37" customFormat="false" ht="15" hidden="false" customHeight="false" outlineLevel="0" collapsed="false">
      <c r="A37" s="8" t="s">
        <v>835</v>
      </c>
      <c r="B37" s="4" t="s">
        <v>208</v>
      </c>
      <c r="C37" s="8" t="s">
        <v>209</v>
      </c>
      <c r="D37" s="4" t="s">
        <v>58</v>
      </c>
      <c r="E37" s="4" t="s">
        <v>59</v>
      </c>
      <c r="F37" s="8" t="s">
        <v>833</v>
      </c>
    </row>
    <row r="38" customFormat="false" ht="15" hidden="false" customHeight="false" outlineLevel="0" collapsed="false">
      <c r="A38" s="8" t="s">
        <v>835</v>
      </c>
      <c r="B38" s="4" t="s">
        <v>210</v>
      </c>
      <c r="C38" s="8" t="s">
        <v>211</v>
      </c>
      <c r="D38" s="4" t="s">
        <v>58</v>
      </c>
      <c r="E38" s="4" t="s">
        <v>59</v>
      </c>
      <c r="F38" s="8" t="s">
        <v>833</v>
      </c>
    </row>
    <row r="39" customFormat="false" ht="15" hidden="false" customHeight="false" outlineLevel="0" collapsed="false">
      <c r="A39" s="8" t="s">
        <v>835</v>
      </c>
      <c r="B39" s="4" t="s">
        <v>214</v>
      </c>
      <c r="C39" s="8" t="s">
        <v>215</v>
      </c>
      <c r="D39" s="4" t="s">
        <v>58</v>
      </c>
      <c r="E39" s="4" t="s">
        <v>59</v>
      </c>
      <c r="F39" s="8" t="s">
        <v>833</v>
      </c>
    </row>
    <row r="40" customFormat="false" ht="15" hidden="false" customHeight="false" outlineLevel="0" collapsed="false">
      <c r="A40" s="8" t="s">
        <v>835</v>
      </c>
      <c r="B40" s="4" t="s">
        <v>218</v>
      </c>
      <c r="C40" s="8" t="s">
        <v>219</v>
      </c>
      <c r="D40" s="4" t="s">
        <v>58</v>
      </c>
      <c r="E40" s="4" t="s">
        <v>59</v>
      </c>
      <c r="F40" s="8" t="s">
        <v>833</v>
      </c>
    </row>
    <row r="41" customFormat="false" ht="15" hidden="false" customHeight="false" outlineLevel="0" collapsed="false">
      <c r="A41" s="8" t="s">
        <v>835</v>
      </c>
      <c r="B41" s="4" t="s">
        <v>220</v>
      </c>
      <c r="C41" s="8" t="s">
        <v>221</v>
      </c>
      <c r="D41" s="4" t="s">
        <v>58</v>
      </c>
      <c r="E41" s="4" t="s">
        <v>59</v>
      </c>
      <c r="F41" s="8" t="s">
        <v>833</v>
      </c>
    </row>
    <row r="42" customFormat="false" ht="15" hidden="false" customHeight="false" outlineLevel="0" collapsed="false">
      <c r="A42" s="8" t="s">
        <v>835</v>
      </c>
      <c r="B42" s="4" t="s">
        <v>225</v>
      </c>
      <c r="C42" s="8" t="s">
        <v>226</v>
      </c>
      <c r="D42" s="4" t="s">
        <v>102</v>
      </c>
      <c r="E42" s="4" t="s">
        <v>59</v>
      </c>
      <c r="F42" s="8" t="s">
        <v>833</v>
      </c>
    </row>
    <row r="43" customFormat="false" ht="15" hidden="false" customHeight="false" outlineLevel="0" collapsed="false">
      <c r="A43" s="8" t="s">
        <v>835</v>
      </c>
      <c r="B43" s="4" t="s">
        <v>227</v>
      </c>
      <c r="C43" s="8" t="s">
        <v>228</v>
      </c>
      <c r="D43" s="4" t="s">
        <v>110</v>
      </c>
      <c r="E43" s="4" t="s">
        <v>59</v>
      </c>
      <c r="F43" s="8" t="s">
        <v>833</v>
      </c>
    </row>
    <row r="44" customFormat="false" ht="15" hidden="false" customHeight="false" outlineLevel="0" collapsed="false">
      <c r="A44" s="8" t="s">
        <v>838</v>
      </c>
      <c r="B44" s="4" t="s">
        <v>831</v>
      </c>
      <c r="C44" s="8" t="s">
        <v>832</v>
      </c>
      <c r="D44" s="4" t="s">
        <v>61</v>
      </c>
      <c r="E44" s="4" t="s">
        <v>171</v>
      </c>
      <c r="F44" s="8" t="s">
        <v>829</v>
      </c>
    </row>
    <row r="45" customFormat="false" ht="15" hidden="false" customHeight="false" outlineLevel="0" collapsed="false">
      <c r="A45" s="8" t="s">
        <v>838</v>
      </c>
      <c r="B45" s="4" t="s">
        <v>836</v>
      </c>
      <c r="C45" s="8" t="s">
        <v>837</v>
      </c>
      <c r="D45" s="4" t="s">
        <v>61</v>
      </c>
      <c r="E45" s="4" t="s">
        <v>171</v>
      </c>
      <c r="F45" s="8" t="s">
        <v>829</v>
      </c>
    </row>
    <row r="46" customFormat="false" ht="15" hidden="false" customHeight="false" outlineLevel="0" collapsed="false">
      <c r="A46" s="8" t="s">
        <v>838</v>
      </c>
      <c r="B46" s="4" t="s">
        <v>230</v>
      </c>
      <c r="C46" s="8" t="s">
        <v>231</v>
      </c>
      <c r="D46" s="8" t="s">
        <v>232</v>
      </c>
      <c r="E46" s="4" t="s">
        <v>171</v>
      </c>
      <c r="F46" s="8" t="s">
        <v>833</v>
      </c>
    </row>
    <row r="47" customFormat="false" ht="15" hidden="false" customHeight="false" outlineLevel="0" collapsed="false">
      <c r="A47" s="8" t="s">
        <v>838</v>
      </c>
      <c r="B47" s="4" t="s">
        <v>236</v>
      </c>
      <c r="C47" s="8" t="s">
        <v>237</v>
      </c>
      <c r="D47" s="8" t="s">
        <v>232</v>
      </c>
      <c r="E47" s="4" t="s">
        <v>171</v>
      </c>
      <c r="F47" s="8" t="s">
        <v>833</v>
      </c>
    </row>
    <row r="48" customFormat="false" ht="15" hidden="false" customHeight="false" outlineLevel="0" collapsed="false">
      <c r="A48" s="8" t="s">
        <v>838</v>
      </c>
      <c r="B48" s="4" t="s">
        <v>239</v>
      </c>
      <c r="C48" s="8" t="s">
        <v>240</v>
      </c>
      <c r="D48" s="4" t="s">
        <v>58</v>
      </c>
      <c r="E48" s="4" t="s">
        <v>171</v>
      </c>
      <c r="F48" s="8" t="s">
        <v>833</v>
      </c>
    </row>
    <row r="49" customFormat="false" ht="15" hidden="false" customHeight="false" outlineLevel="0" collapsed="false">
      <c r="A49" s="8" t="s">
        <v>838</v>
      </c>
      <c r="B49" s="4" t="s">
        <v>248</v>
      </c>
      <c r="C49" s="4" t="s">
        <v>249</v>
      </c>
      <c r="D49" s="4" t="s">
        <v>250</v>
      </c>
      <c r="E49" s="4" t="s">
        <v>171</v>
      </c>
      <c r="F49" s="8" t="s">
        <v>833</v>
      </c>
    </row>
    <row r="50" customFormat="false" ht="15" hidden="false" customHeight="false" outlineLevel="0" collapsed="false">
      <c r="A50" s="8" t="s">
        <v>838</v>
      </c>
      <c r="B50" s="4" t="s">
        <v>252</v>
      </c>
      <c r="C50" s="4" t="s">
        <v>253</v>
      </c>
      <c r="D50" s="4" t="s">
        <v>250</v>
      </c>
      <c r="E50" s="4" t="s">
        <v>171</v>
      </c>
      <c r="F50" s="8" t="s">
        <v>833</v>
      </c>
    </row>
    <row r="51" customFormat="false" ht="15" hidden="false" customHeight="false" outlineLevel="0" collapsed="false">
      <c r="A51" s="8" t="s">
        <v>838</v>
      </c>
      <c r="B51" s="4" t="s">
        <v>254</v>
      </c>
      <c r="C51" s="4" t="s">
        <v>255</v>
      </c>
      <c r="D51" s="4" t="s">
        <v>250</v>
      </c>
      <c r="E51" s="4" t="s">
        <v>171</v>
      </c>
      <c r="F51" s="8" t="s">
        <v>833</v>
      </c>
    </row>
    <row r="52" customFormat="false" ht="15" hidden="false" customHeight="false" outlineLevel="0" collapsed="false">
      <c r="A52" s="8" t="s">
        <v>838</v>
      </c>
      <c r="B52" s="4" t="s">
        <v>256</v>
      </c>
      <c r="C52" s="4" t="s">
        <v>257</v>
      </c>
      <c r="D52" s="4" t="s">
        <v>250</v>
      </c>
      <c r="E52" s="4" t="s">
        <v>171</v>
      </c>
      <c r="F52" s="8" t="s">
        <v>833</v>
      </c>
    </row>
    <row r="53" customFormat="false" ht="15" hidden="false" customHeight="false" outlineLevel="0" collapsed="false">
      <c r="A53" s="8" t="s">
        <v>838</v>
      </c>
      <c r="B53" s="4" t="s">
        <v>243</v>
      </c>
      <c r="C53" s="8" t="s">
        <v>244</v>
      </c>
      <c r="D53" s="4" t="s">
        <v>192</v>
      </c>
      <c r="E53" s="4" t="s">
        <v>171</v>
      </c>
      <c r="F53" s="8" t="s">
        <v>833</v>
      </c>
    </row>
    <row r="54" customFormat="false" ht="15" hidden="false" customHeight="false" outlineLevel="0" collapsed="false">
      <c r="A54" s="8" t="s">
        <v>838</v>
      </c>
      <c r="B54" s="4" t="s">
        <v>262</v>
      </c>
      <c r="C54" s="8" t="s">
        <v>263</v>
      </c>
      <c r="D54" s="4" t="s">
        <v>110</v>
      </c>
      <c r="E54" s="4" t="s">
        <v>171</v>
      </c>
      <c r="F54" s="8" t="s">
        <v>833</v>
      </c>
    </row>
    <row r="55" customFormat="false" ht="15" hidden="false" customHeight="false" outlineLevel="0" collapsed="false">
      <c r="A55" s="8" t="s">
        <v>838</v>
      </c>
      <c r="B55" s="4" t="s">
        <v>265</v>
      </c>
      <c r="C55" s="8" t="s">
        <v>266</v>
      </c>
      <c r="D55" s="4" t="s">
        <v>58</v>
      </c>
      <c r="E55" s="4" t="s">
        <v>171</v>
      </c>
      <c r="F55" s="8" t="s">
        <v>833</v>
      </c>
    </row>
    <row r="56" customFormat="false" ht="15" hidden="false" customHeight="false" outlineLevel="0" collapsed="false">
      <c r="A56" s="8" t="s">
        <v>838</v>
      </c>
      <c r="B56" s="4" t="s">
        <v>268</v>
      </c>
      <c r="C56" s="8" t="s">
        <v>269</v>
      </c>
      <c r="D56" s="4" t="s">
        <v>110</v>
      </c>
      <c r="E56" s="4" t="s">
        <v>171</v>
      </c>
      <c r="F56" s="8" t="s">
        <v>833</v>
      </c>
    </row>
    <row r="57" customFormat="false" ht="15" hidden="false" customHeight="false" outlineLevel="0" collapsed="false">
      <c r="A57" s="8" t="s">
        <v>838</v>
      </c>
      <c r="B57" s="4" t="s">
        <v>839</v>
      </c>
      <c r="C57" s="8" t="s">
        <v>840</v>
      </c>
      <c r="D57" s="4" t="s">
        <v>61</v>
      </c>
      <c r="E57" s="4" t="s">
        <v>171</v>
      </c>
      <c r="F57" s="8" t="s">
        <v>833</v>
      </c>
    </row>
    <row r="58" customFormat="false" ht="15" hidden="false" customHeight="false" outlineLevel="0" collapsed="false">
      <c r="A58" s="8" t="s">
        <v>838</v>
      </c>
      <c r="B58" s="4" t="s">
        <v>841</v>
      </c>
      <c r="C58" s="8" t="s">
        <v>842</v>
      </c>
      <c r="D58" s="4" t="s">
        <v>61</v>
      </c>
      <c r="E58" s="4" t="s">
        <v>171</v>
      </c>
      <c r="F58" s="8" t="s">
        <v>833</v>
      </c>
    </row>
    <row r="59" customFormat="false" ht="15" hidden="false" customHeight="false" outlineLevel="0" collapsed="false">
      <c r="A59" s="8" t="s">
        <v>843</v>
      </c>
      <c r="B59" s="4" t="s">
        <v>831</v>
      </c>
      <c r="C59" s="8" t="s">
        <v>832</v>
      </c>
      <c r="D59" s="4" t="s">
        <v>61</v>
      </c>
      <c r="E59" s="4" t="s">
        <v>171</v>
      </c>
      <c r="F59" s="8" t="s">
        <v>829</v>
      </c>
    </row>
    <row r="60" customFormat="false" ht="15" hidden="false" customHeight="false" outlineLevel="0" collapsed="false">
      <c r="A60" s="8" t="s">
        <v>843</v>
      </c>
      <c r="B60" s="4" t="s">
        <v>169</v>
      </c>
      <c r="C60" s="4" t="s">
        <v>170</v>
      </c>
      <c r="D60" s="4" t="s">
        <v>58</v>
      </c>
      <c r="E60" s="4" t="s">
        <v>171</v>
      </c>
      <c r="F60" s="8" t="s">
        <v>833</v>
      </c>
    </row>
    <row r="61" customFormat="false" ht="15" hidden="false" customHeight="false" outlineLevel="0" collapsed="false">
      <c r="A61" s="8" t="s">
        <v>843</v>
      </c>
      <c r="B61" s="4" t="s">
        <v>177</v>
      </c>
      <c r="C61" s="4" t="s">
        <v>178</v>
      </c>
      <c r="D61" s="4" t="s">
        <v>58</v>
      </c>
      <c r="E61" s="4" t="s">
        <v>171</v>
      </c>
      <c r="F61" s="8" t="s">
        <v>833</v>
      </c>
    </row>
    <row r="62" customFormat="false" ht="15" hidden="false" customHeight="false" outlineLevel="0" collapsed="false">
      <c r="A62" s="8" t="s">
        <v>843</v>
      </c>
      <c r="B62" s="4" t="s">
        <v>180</v>
      </c>
      <c r="C62" s="4" t="s">
        <v>181</v>
      </c>
      <c r="D62" s="4" t="s">
        <v>58</v>
      </c>
      <c r="E62" s="4" t="s">
        <v>171</v>
      </c>
      <c r="F62" s="8" t="s">
        <v>833</v>
      </c>
    </row>
    <row r="63" customFormat="false" ht="15" hidden="false" customHeight="false" outlineLevel="0" collapsed="false">
      <c r="A63" s="8" t="s">
        <v>843</v>
      </c>
      <c r="B63" s="4" t="s">
        <v>183</v>
      </c>
      <c r="C63" s="4" t="s">
        <v>184</v>
      </c>
      <c r="D63" s="4" t="s">
        <v>58</v>
      </c>
      <c r="E63" s="4" t="s">
        <v>171</v>
      </c>
      <c r="F63" s="8" t="s">
        <v>833</v>
      </c>
    </row>
    <row r="64" customFormat="false" ht="15" hidden="false" customHeight="false" outlineLevel="0" collapsed="false">
      <c r="A64" s="8" t="s">
        <v>843</v>
      </c>
      <c r="B64" s="4" t="s">
        <v>185</v>
      </c>
      <c r="C64" s="4" t="s">
        <v>186</v>
      </c>
      <c r="D64" s="4" t="s">
        <v>58</v>
      </c>
      <c r="E64" s="4" t="s">
        <v>171</v>
      </c>
      <c r="F64" s="8" t="s">
        <v>833</v>
      </c>
    </row>
    <row r="65" customFormat="false" ht="15" hidden="false" customHeight="false" outlineLevel="0" collapsed="false">
      <c r="A65" s="8" t="s">
        <v>843</v>
      </c>
      <c r="B65" s="4" t="s">
        <v>187</v>
      </c>
      <c r="C65" s="4" t="s">
        <v>188</v>
      </c>
      <c r="D65" s="4" t="s">
        <v>58</v>
      </c>
      <c r="E65" s="4" t="s">
        <v>171</v>
      </c>
      <c r="F65" s="8" t="s">
        <v>833</v>
      </c>
    </row>
    <row r="66" customFormat="false" ht="15" hidden="false" customHeight="false" outlineLevel="0" collapsed="false">
      <c r="A66" s="8" t="s">
        <v>843</v>
      </c>
      <c r="B66" s="4" t="s">
        <v>190</v>
      </c>
      <c r="C66" s="8" t="s">
        <v>191</v>
      </c>
      <c r="D66" s="4" t="s">
        <v>192</v>
      </c>
      <c r="E66" s="4" t="s">
        <v>171</v>
      </c>
      <c r="F66" s="8" t="s">
        <v>833</v>
      </c>
    </row>
    <row r="67" customFormat="false" ht="15" hidden="false" customHeight="false" outlineLevel="0" collapsed="false">
      <c r="A67" s="8" t="s">
        <v>843</v>
      </c>
      <c r="B67" s="4" t="s">
        <v>195</v>
      </c>
      <c r="C67" s="8" t="s">
        <v>196</v>
      </c>
      <c r="D67" s="4" t="s">
        <v>192</v>
      </c>
      <c r="E67" s="4" t="s">
        <v>171</v>
      </c>
      <c r="F67" s="8" t="s">
        <v>833</v>
      </c>
    </row>
    <row r="69" customFormat="false" ht="15" hidden="false" customHeight="false" outlineLevel="0" collapsed="false">
      <c r="A69" s="16" t="s">
        <v>844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3" min="3" style="0" width="26"/>
    <col collapsed="false" customWidth="true" hidden="false" outlineLevel="0" max="5" min="4" style="0" width="34"/>
  </cols>
  <sheetData>
    <row r="1" customFormat="false" ht="30" hidden="false" customHeight="true" outlineLevel="0" collapsed="false">
      <c r="A1" s="10" t="s">
        <v>845</v>
      </c>
      <c r="B1" s="11" t="s">
        <v>846</v>
      </c>
      <c r="C1" s="11" t="s">
        <v>847</v>
      </c>
      <c r="D1" s="10" t="s">
        <v>848</v>
      </c>
      <c r="E1" s="10" t="s">
        <v>849</v>
      </c>
    </row>
    <row r="2" customFormat="false" ht="15" hidden="false" customHeight="false" outlineLevel="0" collapsed="false">
      <c r="A2" s="8" t="s">
        <v>850</v>
      </c>
      <c r="B2" s="7" t="s">
        <v>61</v>
      </c>
      <c r="C2" s="7" t="s">
        <v>851</v>
      </c>
      <c r="D2" s="4" t="s">
        <v>852</v>
      </c>
      <c r="E2" s="8" t="s">
        <v>853</v>
      </c>
    </row>
    <row r="3" customFormat="false" ht="15" hidden="false" customHeight="false" outlineLevel="0" collapsed="false">
      <c r="A3" s="8" t="s">
        <v>854</v>
      </c>
      <c r="B3" s="7" t="s">
        <v>855</v>
      </c>
      <c r="C3" s="7" t="s">
        <v>856</v>
      </c>
      <c r="D3" s="4" t="s">
        <v>852</v>
      </c>
      <c r="E3" s="8" t="s">
        <v>853</v>
      </c>
    </row>
    <row r="4" customFormat="false" ht="15" hidden="false" customHeight="false" outlineLevel="0" collapsed="false">
      <c r="A4" s="8" t="s">
        <v>857</v>
      </c>
      <c r="B4" s="7" t="s">
        <v>858</v>
      </c>
      <c r="C4" s="7" t="s">
        <v>859</v>
      </c>
      <c r="D4" s="4" t="s">
        <v>852</v>
      </c>
      <c r="E4" s="8" t="s">
        <v>853</v>
      </c>
    </row>
    <row r="5" customFormat="false" ht="15" hidden="false" customHeight="false" outlineLevel="0" collapsed="false">
      <c r="A5" s="8" t="s">
        <v>860</v>
      </c>
      <c r="B5" s="7" t="s">
        <v>861</v>
      </c>
      <c r="C5" s="7" t="s">
        <v>862</v>
      </c>
      <c r="D5" s="4" t="s">
        <v>852</v>
      </c>
      <c r="E5" s="8" t="s">
        <v>853</v>
      </c>
    </row>
    <row r="6" customFormat="false" ht="15" hidden="false" customHeight="false" outlineLevel="0" collapsed="false">
      <c r="A6" s="8" t="s">
        <v>863</v>
      </c>
      <c r="B6" s="7" t="s">
        <v>864</v>
      </c>
      <c r="C6" s="7" t="s">
        <v>865</v>
      </c>
      <c r="D6" s="4" t="s">
        <v>866</v>
      </c>
      <c r="E6" s="8" t="s">
        <v>853</v>
      </c>
    </row>
    <row r="7" customFormat="false" ht="26.85" hidden="false" customHeight="false" outlineLevel="0" collapsed="false">
      <c r="A7" s="8" t="s">
        <v>867</v>
      </c>
      <c r="B7" s="22" t="s">
        <v>868</v>
      </c>
      <c r="C7" s="7" t="s">
        <v>869</v>
      </c>
      <c r="D7" s="4" t="s">
        <v>870</v>
      </c>
      <c r="E7" s="4" t="s">
        <v>871</v>
      </c>
    </row>
    <row r="8" customFormat="false" ht="26.85" hidden="false" customHeight="false" outlineLevel="0" collapsed="false">
      <c r="A8" s="8" t="s">
        <v>872</v>
      </c>
      <c r="B8" s="7" t="s">
        <v>873</v>
      </c>
      <c r="C8" s="7" t="s">
        <v>873</v>
      </c>
      <c r="D8" s="4" t="s">
        <v>874</v>
      </c>
      <c r="E8" s="8" t="s">
        <v>853</v>
      </c>
    </row>
    <row r="9" customFormat="false" ht="15" hidden="false" customHeight="false" outlineLevel="0" collapsed="false">
      <c r="A9" s="8" t="s">
        <v>875</v>
      </c>
      <c r="B9" s="7" t="s">
        <v>876</v>
      </c>
      <c r="C9" s="7" t="s">
        <v>876</v>
      </c>
      <c r="D9" s="4" t="s">
        <v>852</v>
      </c>
      <c r="E9" s="8" t="s">
        <v>853</v>
      </c>
    </row>
    <row r="10" customFormat="false" ht="15" hidden="false" customHeight="false" outlineLevel="0" collapsed="false">
      <c r="A10" s="8" t="s">
        <v>877</v>
      </c>
      <c r="B10" s="7" t="s">
        <v>878</v>
      </c>
      <c r="C10" s="7" t="s">
        <v>879</v>
      </c>
      <c r="D10" s="4" t="s">
        <v>852</v>
      </c>
      <c r="E10" s="8" t="s">
        <v>853</v>
      </c>
    </row>
    <row r="11" customFormat="false" ht="15" hidden="false" customHeight="false" outlineLevel="0" collapsed="false">
      <c r="A11" s="8" t="s">
        <v>880</v>
      </c>
      <c r="B11" s="7" t="s">
        <v>876</v>
      </c>
      <c r="C11" s="7" t="s">
        <v>876</v>
      </c>
      <c r="D11" s="4" t="s">
        <v>881</v>
      </c>
      <c r="E11" s="8" t="s">
        <v>853</v>
      </c>
    </row>
    <row r="12" customFormat="false" ht="39.55" hidden="false" customHeight="false" outlineLevel="0" collapsed="false">
      <c r="A12" s="8" t="s">
        <v>882</v>
      </c>
      <c r="B12" s="22" t="s">
        <v>883</v>
      </c>
      <c r="C12" s="22" t="s">
        <v>884</v>
      </c>
      <c r="D12" s="4" t="s">
        <v>885</v>
      </c>
      <c r="E12" s="4" t="s">
        <v>886</v>
      </c>
    </row>
    <row r="13" customFormat="false" ht="26.85" hidden="false" customHeight="false" outlineLevel="0" collapsed="false">
      <c r="A13" s="8" t="s">
        <v>887</v>
      </c>
      <c r="B13" s="7" t="s">
        <v>888</v>
      </c>
      <c r="C13" s="7" t="s">
        <v>888</v>
      </c>
      <c r="D13" s="8" t="s">
        <v>889</v>
      </c>
      <c r="E13" s="8" t="s">
        <v>890</v>
      </c>
    </row>
    <row r="14" customFormat="false" ht="26.85" hidden="false" customHeight="false" outlineLevel="0" collapsed="false">
      <c r="A14" s="8" t="s">
        <v>891</v>
      </c>
      <c r="B14" s="7" t="s">
        <v>892</v>
      </c>
      <c r="C14" s="7" t="s">
        <v>892</v>
      </c>
      <c r="D14" s="4" t="s">
        <v>893</v>
      </c>
      <c r="E14" s="8" t="s">
        <v>894</v>
      </c>
    </row>
    <row r="16" customFormat="false" ht="15" hidden="false" customHeight="false" outlineLevel="0" collapsed="false">
      <c r="A16" s="2" t="s">
        <v>895</v>
      </c>
    </row>
    <row r="17" customFormat="false" ht="15" hidden="false" customHeight="false" outlineLevel="0" collapsed="false">
      <c r="A17" s="2" t="s">
        <v>896</v>
      </c>
    </row>
    <row r="18" customFormat="false" ht="15" hidden="false" customHeight="false" outlineLevel="0" collapsed="false">
      <c r="A18" s="16" t="s">
        <v>897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3" min="3" style="0" width="56"/>
    <col collapsed="false" customWidth="true" hidden="false" outlineLevel="0" max="4" min="4" style="0" width="36"/>
    <col collapsed="false" customWidth="true" hidden="false" outlineLevel="0" max="5" min="5" style="0" width="32"/>
    <col collapsed="false" customWidth="true" hidden="false" outlineLevel="0" max="6" min="6" style="0" width="12"/>
  </cols>
  <sheetData>
    <row r="1" customFormat="false" ht="30" hidden="false" customHeight="true" outlineLevel="0" collapsed="false">
      <c r="A1" s="10" t="s">
        <v>898</v>
      </c>
      <c r="B1" s="10" t="s">
        <v>899</v>
      </c>
      <c r="C1" s="10" t="s">
        <v>900</v>
      </c>
      <c r="D1" s="10" t="s">
        <v>901</v>
      </c>
      <c r="E1" s="10" t="s">
        <v>902</v>
      </c>
      <c r="F1" s="10" t="s">
        <v>903</v>
      </c>
    </row>
    <row r="2" customFormat="false" ht="48" hidden="false" customHeight="true" outlineLevel="0" collapsed="false">
      <c r="A2" s="4" t="s">
        <v>904</v>
      </c>
      <c r="B2" s="8" t="s">
        <v>905</v>
      </c>
      <c r="C2" s="8" t="s">
        <v>906</v>
      </c>
      <c r="D2" s="4" t="s">
        <v>907</v>
      </c>
      <c r="E2" s="8" t="s">
        <v>908</v>
      </c>
      <c r="F2" s="8" t="s">
        <v>905</v>
      </c>
    </row>
    <row r="3" customFormat="false" ht="48" hidden="false" customHeight="true" outlineLevel="0" collapsed="false">
      <c r="A3" s="4" t="s">
        <v>909</v>
      </c>
      <c r="B3" s="8" t="s">
        <v>905</v>
      </c>
      <c r="C3" s="8" t="s">
        <v>910</v>
      </c>
      <c r="D3" s="8" t="s">
        <v>911</v>
      </c>
      <c r="E3" s="8" t="s">
        <v>912</v>
      </c>
      <c r="F3" s="8" t="s">
        <v>913</v>
      </c>
    </row>
    <row r="4" customFormat="false" ht="48" hidden="false" customHeight="true" outlineLevel="0" collapsed="false">
      <c r="A4" s="4" t="s">
        <v>914</v>
      </c>
      <c r="B4" s="8" t="s">
        <v>915</v>
      </c>
      <c r="C4" s="4" t="s">
        <v>916</v>
      </c>
      <c r="D4" s="8" t="s">
        <v>917</v>
      </c>
      <c r="E4" s="4" t="s">
        <v>918</v>
      </c>
      <c r="F4" s="8" t="s">
        <v>919</v>
      </c>
    </row>
    <row r="5" customFormat="false" ht="48" hidden="false" customHeight="true" outlineLevel="0" collapsed="false">
      <c r="A5" s="4" t="s">
        <v>920</v>
      </c>
      <c r="B5" s="8" t="s">
        <v>921</v>
      </c>
      <c r="C5" s="8" t="s">
        <v>922</v>
      </c>
      <c r="D5" s="8" t="s">
        <v>923</v>
      </c>
      <c r="E5" s="8" t="s">
        <v>924</v>
      </c>
      <c r="F5" s="8" t="s">
        <v>925</v>
      </c>
    </row>
    <row r="6" customFormat="false" ht="48" hidden="false" customHeight="true" outlineLevel="0" collapsed="false">
      <c r="A6" s="4" t="s">
        <v>926</v>
      </c>
      <c r="B6" s="8" t="s">
        <v>927</v>
      </c>
      <c r="C6" s="4" t="s">
        <v>928</v>
      </c>
      <c r="D6" s="8" t="s">
        <v>929</v>
      </c>
      <c r="E6" s="4" t="s">
        <v>930</v>
      </c>
      <c r="F6" s="8" t="s">
        <v>925</v>
      </c>
    </row>
    <row r="8" customFormat="false" ht="15" hidden="false" customHeight="false" outlineLevel="0" collapsed="false">
      <c r="A8" s="2" t="s">
        <v>931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2026-10-08T05:10:52Z</dcterms:created>
  <dc:creator>openpyxl</dc:creator>
  <dc:description/>
  <dc:language>en-US</dc:language>
  <cp:lastModifiedBy/>
  <dcterms:modified xsi:type="dcterms:W3CDTF">2026-10-08T05:10:52Z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